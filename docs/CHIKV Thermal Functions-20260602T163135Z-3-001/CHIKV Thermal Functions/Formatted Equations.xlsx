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erature Dependent Functions" sheetId="1" r:id="rId5"/>
    <sheet state="visible" name="Chikungunya" sheetId="2" r:id="rId6"/>
  </sheets>
  <definedNames/>
  <calcPr/>
</workbook>
</file>

<file path=xl/sharedStrings.xml><?xml version="1.0" encoding="utf-8"?>
<sst xmlns="http://schemas.openxmlformats.org/spreadsheetml/2006/main" count="824" uniqueCount="475">
  <si>
    <t>Disease</t>
  </si>
  <si>
    <t xml:space="preserve">Parameter </t>
  </si>
  <si>
    <t>Temperature restraint</t>
  </si>
  <si>
    <t>Equation</t>
  </si>
  <si>
    <t>Paper</t>
  </si>
  <si>
    <t xml:space="preserve">Source </t>
  </si>
  <si>
    <t>Chickungunya</t>
  </si>
  <si>
    <t>Mosquito egg survival</t>
  </si>
  <si>
    <t>Ruiz-Moreno et al. 2012</t>
  </si>
  <si>
    <t>Author derived</t>
  </si>
  <si>
    <t>Proportion of eggs entering diapause state</t>
  </si>
  <si>
    <t>Egg maturation period</t>
  </si>
  <si>
    <t>Proportion of eggs leaving diapause state</t>
  </si>
  <si>
    <t xml:space="preserve">Survival of larve </t>
  </si>
  <si>
    <t>Larvea maturation</t>
  </si>
  <si>
    <t xml:space="preserve">Adult mosquito survival </t>
  </si>
  <si>
    <t>symbol</t>
  </si>
  <si>
    <t>Extrinsic incubation period</t>
  </si>
  <si>
    <t>Intrinsic incubation rate</t>
  </si>
  <si>
    <t>Boer et al. 2025</t>
  </si>
  <si>
    <t>Offspring number</t>
  </si>
  <si>
    <t>Mortality rate</t>
  </si>
  <si>
    <t>Mosquito natural death rate</t>
  </si>
  <si>
    <t>Gondim et al. 2026</t>
  </si>
  <si>
    <t>D. McLean, A. Clarke, J. Coleman, C. Montalbetti, A. Skidmore, T. Walters, R. Wise, Vector capability of Aedes aegypti mosquitoes for California encephalitis and dengue viruses at various temperatures, Can. J. Microbiol. 20 (2) (1974) 255–262. https://doi.org/10.1139/m74-040.</t>
  </si>
  <si>
    <t>Mosquito biting rate</t>
  </si>
  <si>
    <t>D.A. Focks, E. Daniels, D.G. Haile, J.E. Keesling, A simulation model of the epidemiology of urban dengue fever: literature analysis, model development, preliminary validation, and samples of simulation results, Am. J. Trop. Med. Hyg. 53 (5) (1995) 489–506. https://doi.org/10.4269/ajtmh.1995.53.489</t>
  </si>
  <si>
    <t>Larvae death rate</t>
  </si>
  <si>
    <t>L.D. Valdez, G.J. Sibona, C.A. Condat, Impact of rainfall on Aedes aegypti popula-tions, Ecol. Model. 385 (2018) 96–105.</t>
  </si>
  <si>
    <t>Larvae development rate</t>
  </si>
  <si>
    <t>X. Liu, Y. Wang, X.-Q. Zhao, Dynamics of a periodic chikungunya model with tem-perature and rainfall effects, Commun. Nonlinear Sci. Nonlinear Numer. 89 (2020) 105409. https://doi.org/10.1016/j.cnsns.2020.105409</t>
  </si>
  <si>
    <t>Larvae birth rate</t>
  </si>
  <si>
    <t>Mosquito progression rate from exposed to infectious</t>
  </si>
  <si>
    <t>X. Liu, Y. Wang, X.-Q. Zhao, Dynamics of a periodic chikungunya model with tem-perature and rainfall effects, Commun. Nonlinear Sci. Nonlinear Numer. 89 (2020) 105409. https://doi.org/10.1016/j.cnsns.2020.105409
L.D. Valdez, G.J. Sibona, C.A. Condat, Impact of rainfall on Aedes aegypti popula-tions, Ecol. Model. 385 (2018) 96–105.</t>
  </si>
  <si>
    <t>Transmission probability (bmh)</t>
  </si>
  <si>
    <t>Chadsuthi et al 2016</t>
  </si>
  <si>
    <t>Number of eggs ar each deposit per capita (mub)</t>
  </si>
  <si>
    <t xml:space="preserve">Extrinsic incubation period (1/vm) </t>
  </si>
  <si>
    <t>Mortality rate for larvae (muL)</t>
  </si>
  <si>
    <t>temperature-dependent rates of progression to the following developmental stage egg</t>
  </si>
  <si>
    <t>dE(T)=1/{𝑝𝐸1−𝑝𝐸2𝑒^−[(𝑇−20)/𝑝𝐸3]^2}</t>
  </si>
  <si>
    <t>Guzzetta et al 2016</t>
  </si>
  <si>
    <t>Poletti P, Messeri G, Ajelli M, Vallorani R, Rizzo C, Merler S. Transmission potential of chikungunya virus and control measures: the case of Italy. PLoS One. 2011 May 3; 6(5):e18860. doi: 10.1371/ journal.pone.0018860 PMID: 21559329</t>
  </si>
  <si>
    <t>temperature-dependent rates of progression to the following developmental stage larval</t>
  </si>
  <si>
    <t>𝑑𝐿(𝑇)=1/{𝑝𝐿1𝑇^2+𝑝𝐿2𝑇+𝑝𝐿3}</t>
  </si>
  <si>
    <t>Poletti P, Messeri G, Ajelli M, Vallorani R, Rizzo C, Merler S. Transmission potential of chikungunya virus and control measures: the case of Italy. PLoS One. 2011 May 3; 6(5):e18860. doi: 10.1371/ journal.pone.0018860 PMID: 21559330</t>
  </si>
  <si>
    <t>temperature-dependent rates of progression to the following developmental stage pupea</t>
  </si>
  <si>
    <t>𝑑𝑃(𝑇)=1/{𝑝𝑃1𝑇^2+𝑝𝑃2𝑇+𝑝𝑃3}</t>
  </si>
  <si>
    <t>Poletti P, Messeri G, Ajelli M, Vallorani R, Rizzo C, Merler S. Transmission potential of chikungunya virus and control measures: the case of Italy. PLoS One. 2011 May 3; 6(5):e18860. doi: 10.1371/ journal.pone.0018860 PMID: 21559331</t>
  </si>
  <si>
    <t>temperature-dependent rates of progression to the following developmental stage adult</t>
  </si>
  <si>
    <t>𝑑𝑉(𝑇)=1/{𝑝𝑉1𝑇^2+𝑝𝑉2𝑇+𝑝𝑉3}</t>
  </si>
  <si>
    <t>Poletti P, Messeri G, Ajelli M, Vallorani R, Rizzo C, Merler S. Transmission potential of chikungunya virus and control measures: the case of Italy. PLoS One. 2011 May 3; 6(5):e18860. doi: 10.1371/ journal.pone.0018860 PMID: 21559332</t>
  </si>
  <si>
    <t>Mortality egg</t>
  </si>
  <si>
    <t>𝜇𝐸(𝑇)=𝑞𝐸1−𝑞𝐸2𝑒^−(𝑇−25𝑞𝐸3)^6</t>
  </si>
  <si>
    <t>Poletti P, Messeri G, Ajelli M, Vallorani R, Rizzo C, Merler S. Transmission potential of chikungunya virus and control measures: the case of Italy. PLoS One. 2011 May 3; 6(5):e18860. doi: 10.1371/ journal.pone.0018860 PMID: 21559333</t>
  </si>
  <si>
    <t>Mortality larval</t>
  </si>
  <si>
    <t>𝜇𝐿(𝑇)=𝑞𝐿1+𝑞𝐿2𝑒^(𝑇−𝑞𝐿3)</t>
  </si>
  <si>
    <t>Poletti P, Messeri G, Ajelli M, Vallorani R, Rizzo C, Merler S. Transmission potential of chikungunya virus and control measures: the case of Italy. PLoS One. 2011 May 3; 6(5):e18860. doi: 10.1371/ journal.pone.0018860 PMID: 21559334</t>
  </si>
  <si>
    <t>Mortaility pupea</t>
  </si>
  <si>
    <t>𝜇𝑃(𝑇)=𝑞𝑃1+𝑞𝑃2𝑒^(𝑇−𝑞𝑃3)</t>
  </si>
  <si>
    <t>Poletti P, Messeri G, Ajelli M, Vallorani R, Rizzo C, Merler S. Transmission potential of chikungunya virus and control measures: the case of Italy. PLoS One. 2011 May 3; 6(5):e18860. doi: 10.1371/ journal.pone.0018860 PMID: 21559335</t>
  </si>
  <si>
    <t>Mortaility adult</t>
  </si>
  <si>
    <t>𝜇𝑉(𝑇)=𝑞𝑉1+𝑞𝑉2𝑒^(𝑇−𝑞𝑉3)</t>
  </si>
  <si>
    <t>Poletti P, Messeri G, Ajelli M, Vallorani R, Rizzo C, Merler S. Transmission potential of chikungunya virus and control measures: the case of Italy. PLoS One. 2011 May 3; 6(5):e18860. doi: 10.1371/ journal.pone.0018860 PMID: 21559336</t>
  </si>
  <si>
    <t>Biting rate</t>
  </si>
  <si>
    <t>a(T) = 0.0943 + 0.0043T ( 21 C &lt;= T &lt;= 32 C)</t>
  </si>
  <si>
    <t>Kakarla et al 2019</t>
  </si>
  <si>
    <t>Liu-Helmersson, J., Stenlund, H., Wilder-Smith, A., Rocklöv, J., 2014. Vectorial capacity of Aedes aegypti: effects of temperature and implications for global dengue epidemic potential. PLoS One 9, e89783.
Scott, T.W., Amerasinghe, P.H., Morrison, A.C., Lorenz, L.H., et al., 2000. Longitudinal studies of Aedes aegypti (Diptera: Culicidae) in Thailand and Puerto Rico: blood feeding frequency. J. Med. Entomol. l37, 89–101.</t>
  </si>
  <si>
    <t xml:space="preserve">Human to vecotr transmission probability </t>
  </si>
  <si>
    <t>b(T) = -0.9037 + 0.0729 T</t>
  </si>
  <si>
    <t>Lambrechts, L., Paaijmans, K.P., Fansiri, T., Carrington, L.B., et al., 2011. Impact of daily temperature fluctuations on dengue virus transmission by Aedes aegypti. Proc. Natl. Acad. Sci. 108, 7460–7465.</t>
  </si>
  <si>
    <t>Vector to human transmission probability</t>
  </si>
  <si>
    <t>c(T) = 0.001044T (T-12.286) sqrt(32.461 -T)</t>
  </si>
  <si>
    <t>τe(T) = 4 + exp (5.15−0.123)</t>
  </si>
  <si>
    <t>Focks, D., Daniels, E., Keesling, J., 1995. A simulation model of the epidemiology of urban dengue fever: literature analysis, model development, preliminary validation, and samples of simulation results. Am. J. Trop. Med. Hyg. 53, 489–506.</t>
  </si>
  <si>
    <t>Mortality rate adult</t>
  </si>
  <si>
    <t>μ(T) = 0.8692−0.1590 T + 0.01116 T^2 – 3.408 * 10−4 T^3 + 3.809 * 10−6 T^4</t>
  </si>
  <si>
    <t>Yang, H.M., Macoris, M.L., Galvani, K.C., Andrighetti, M.T., Wanderley, D.M., 2009. Assessing the effects of temperature on the population of Aedes aegypti, the vector of dengue. Epidemiol. Infect. 137, 1188–1202</t>
  </si>
  <si>
    <t>τm(T) = 4 + exp (5.15−0.123)</t>
  </si>
  <si>
    <t>Lui et al 2020a</t>
  </si>
  <si>
    <t>Silva JVJ , Ludwig-Begall LF , de Oliveira-Filho EF , Oliveira RAS , Duraes-Carvalho R , Lopes TRR , et al. A scoping review of Chikungunya virus infection: epidemiology, clinical characteristics, viral co-circulation complications, and control. Acta Trop 2018;188:213–24 .
Focks, D., Daniels, E., Keesling, J., 1995. A simulation model of the epidemiology of urban dengue fever: literature analysis, model development, preliminary validation, and samples of simulation results. Am. J. Trop. Med. Hyg. 53, 489–506.
Kakarla SG , Mopuri R , Mutheneni SR , Bhimala KR , Kumaraswamy S , Kadiri MR , et al. Temperature dependent transmission potential model for Chikun- gunya in India. Sci Total Environ 2019;647:66–74 .</t>
  </si>
  <si>
    <t>Daily biting rate</t>
  </si>
  <si>
    <t xml:space="preserve">beta(T) = 0.0943 + 0.0043T </t>
  </si>
  <si>
    <t>mortality per day</t>
  </si>
  <si>
    <t>Temperature-dependetn maturation delay</t>
  </si>
  <si>
    <t>τw(T)=−236 . 87 + 49 . 38 T −3 . 2515 T 2 + 8 . 85 ×10 −2 T 3 −8 . 633 ×10 −4 T 4</t>
  </si>
  <si>
    <t>Valdez LD , Sibona GJ , Condat CA . Impact of rainfall on Aedes aegypti populations. Ecol Model 2018;385:96–105 .
Wang X , Zou X . Threshold dynamics of a temperature-dependent stage-structured mosquito population model with nested delays. Bull Math Biol 2018;80(7):1962–87 .</t>
  </si>
  <si>
    <t>Birthrate of dry eggs</t>
  </si>
  <si>
    <t xml:space="preserve">μb (T ) = 0 . 0591(−5.4 + 1.8 T −0 . 2124 T^2 + 1 . 015 ×10 −2 T^3 −1 . 515 ×10 −4 T^4 ) </t>
  </si>
  <si>
    <t>Maturation of wet eggs to larvae</t>
  </si>
  <si>
    <t xml:space="preserve">ηw (T ) = 8 . 054 ×10 −4 (T + 273 . 15) exp [5 .4338 ×10 3 (1 /298 −1 /(T +273 . 15) ]/[ 1 + exp (5 . 0322 ×10 4 (1/14184 −(1/ ( T +273 . 15))] </t>
  </si>
  <si>
    <t>Mortality rate of larvae per day</t>
  </si>
  <si>
    <t>μL (T ) = 2.130 −0.3797 T + 2.457 ×10^−2 T^ 2 −6.778 ×10 −4 T^3 + 6.794 ×10 −6 T^4</t>
  </si>
  <si>
    <t>Lui et al 2020b</t>
  </si>
  <si>
    <t>K.S. Ganesh , M. Rajasekhar , M.S. Rao , B.K. Rao , Temperature dependent transmission potential model for Chikungunya in India, Sci. Total Environ. 647 (2019) 66–74 .
Focks, D., Daniels, E., Keesling, J., 1995. A simulation model of the epidemiology of urban dengue fever: literature analysis, model development, preliminary validation, and samples of simulation results. Am. J. Trop. Med. Hyg. 53, 489–506.
L.D. Valdez , G.J. Sibona , C.A. Condat , Impact of rainfall on Aedes aegypti populations, Ecol. Model. 385 (2018) 96–105 .</t>
  </si>
  <si>
    <t>L.D. Valdez , G.J. Sibona , C.A. Condat , Impact of rainfall on Aedes aegypti populations, Ecol. Model. 385 (2018) 96–105 .</t>
  </si>
  <si>
    <t>Maturation of rate</t>
  </si>
  <si>
    <t>ηL(T ) = 7.0067 ×10^ −4 (T + 273 . 15){ exp [1 . 3093 ×10^4 (1/298 −1 /(T +273.15))]/1 + exp [2 . 8175 ×10^4(1/304.6 −1/(T+273.15 ))]}</t>
  </si>
  <si>
    <t>Death rate of larvae</t>
  </si>
  <si>
    <t>average blood meal frequency of female Ae. aegypti mosquitoes</t>
  </si>
  <si>
    <t>𝑏𝑣(𝑇 ) = 0.0943 + 0.0043𝑇 , (21 C &lt;/= T &lt;/= 32C)</t>
  </si>
  <si>
    <t>Lusekelo et al 2023</t>
  </si>
  <si>
    <t>Kakarla SG, Mopuri R, Mutheneni SR, Bhimala KR, Kumaraswamy S, Kadiri MR, Gouda KC, Upadhyayula SM. Temperature dependent transmission potential model for chikungunya in India. Sci Total Environ 2019;647:66–74.</t>
  </si>
  <si>
    <t>Probability of transmission of the CHIKV from an infected human to a susceptible mosquito</t>
  </si>
  <si>
    <t>𝛽h(𝑇 ) =0.0729𝑇 − 0.9037, (12.4 ◦C ≤ 𝑇 ≤ 26.1 ◦C)
𝛽h(𝑇 )= 1,  (26.1 ◦C &lt; 𝑇 ≤ 32.5 ◦C)</t>
  </si>
  <si>
    <t>Lambrechts L, Paaijmans KP, Fansiri T, Carrington LB, Kramer LD, Thomas MB, Scott TW. Impact of daily temperature fluctuations on dengue virus transmission by Aedes aegypti. Proc Natl Acad Sci 2011;108(18):7460–5.</t>
  </si>
  <si>
    <t>probability of transmission of CHIKV from an infected mosquito to a susceptible host</t>
  </si>
  <si>
    <t>𝛽𝑣(𝑇 ) = 0.001𝑇 (𝑇 − 12.286) √32.461 − 𝑇 .</t>
  </si>
  <si>
    <t>extrinsic incubation period of Ae. aegypti</t>
  </si>
  <si>
    <t>𝛼−1𝑣 = 4 + exp(5.15 − 0.123𝑇 ).</t>
  </si>
  <si>
    <t>Scott TW, Amerasinghe PH, Morrison AC, Lorenz LH, Clark GG, Strickman D, Kittayapong P, Edman JD. Longitudinal studies of Aedes aegypti (Diptera: Culicidae) in Thailand and Puerto Rico: blood feeding frequency. J Med Entomol 2000;37(1):89–101.</t>
  </si>
  <si>
    <t>mortality rate of Ae. aegypti</t>
  </si>
  <si>
    <t>Yang H, Macoris M, Galvani K, Andrighetti M, Wanderley D. Assessing the effects of temperature on the population of Aedes aegypti, the vector of dengue. Epidemiol Infect 2009;137(8):1188–202.</t>
  </si>
  <si>
    <t>intrinsic oviposition rate of adult mosquitoes</t>
  </si>
  <si>
    <t>𝜃𝑣(𝑇 ) = (−5.4 + 1.8𝑇 − 0.2124𝑇 2 + 0.01015𝑇 3 − 1.515 × 10−4𝑇 4)∕7.</t>
  </si>
  <si>
    <t>Zhu G, Liu T, Xiao J, Zhang B, Song T, Zhang Y, Lin L, Peng Z, Deng A, Ma W, et al. Effects of human mobility, temperature and mosquito control on the spatiotemporal transmission of dengue. Sci Total Environ 2019;651:969–78.</t>
  </si>
  <si>
    <t>aquatic transition rate to adult stage satisfies the function</t>
  </si>
  <si>
    <t>𝜙𝑣(𝑇 ) = (0.131 − 0.05723𝑇 + 0.01164𝑇^2 − 0.001341𝑇^3 + 8.723 × 10−5𝑇^4 −3.017 × 10−6𝑇^5 + 5.153 × 10−8𝑇^6 − 3.42 × 10−10𝑇^7)∕7.</t>
  </si>
  <si>
    <t>mortality rate of aquatic of Ae. aegyp</t>
  </si>
  <si>
    <t>𝑑𝑣(𝑇 ) = (2.13 − 0.3787𝑇 + 0.02457𝑇^2 − 6.778 × 10−4𝑇^3 + 6.794 × 10−6𝑇^4)∕7.</t>
  </si>
  <si>
    <t>-341.8585+108.7373 T -12.3447 T^2+0.6367451 T^3-0.0149469 T^4+0.0001294166 T^5</t>
  </si>
  <si>
    <t>deRoo et al 2025</t>
  </si>
  <si>
    <t>Yang, H. M., Macoris, M. L. G., Galvani, K. C., Andrighetti, M. T. M., &amp; Wanderley, D. M. V. (2009). Assessing the effects of temperature on the population of Aedes aegypti, the vector of dengue. Epidemiology and Infection, 137(8), 1188–1202.</t>
  </si>
  <si>
    <t>Mortality rate per day</t>
  </si>
  <si>
    <t>0.8692−0.1590 T + 0.01116 T^2 – 3.408 * 10−4 T^3 + 3.809 * 10−6 T^4</t>
  </si>
  <si>
    <t>Extrinsic incubation rate</t>
  </si>
  <si>
    <t>4 + exp( 5.15 - 0.123T)</t>
  </si>
  <si>
    <t>Kakarla, S. G., Mopuri, R., Mutheneni, S. R., et al. (2019). Temperature dependent transmission potential model for chikungunya in India. Science of the Total Environment, 647, 66–74.</t>
  </si>
  <si>
    <t>Mortality eggs</t>
  </si>
  <si>
    <t>mE(T) = p1 - p2 exp{-((T-25)/p3)^6)}</t>
  </si>
  <si>
    <t>Poletti et al 2011</t>
  </si>
  <si>
    <t>Mortaiity larvea</t>
  </si>
  <si>
    <t>mL(T)= p1 + p2 exp{T-p3}</t>
  </si>
  <si>
    <t>Mortality pupea</t>
  </si>
  <si>
    <t>mP(T) = p1 + p2 exp{T-p3}</t>
  </si>
  <si>
    <t>Mortailty adult mosquitoes</t>
  </si>
  <si>
    <t>mA(T) = p1 + p2 exp{T-p3}</t>
  </si>
  <si>
    <t>Egg hatching</t>
  </si>
  <si>
    <t>lE(T) = p1 - p2 exp{-((T-20)/p3)^2)}</t>
  </si>
  <si>
    <t>larval development</t>
  </si>
  <si>
    <t>lL(T)= p1 + p2 exp{T-p3}</t>
  </si>
  <si>
    <t>pupal development</t>
  </si>
  <si>
    <t>lP(T) = p1 + p2 exp{T-p3}</t>
  </si>
  <si>
    <t>length of gonotrophic cycle</t>
  </si>
  <si>
    <t>lA(T) = p1 + p2 exp{T-p3}</t>
  </si>
  <si>
    <t>egg mortality</t>
  </si>
  <si>
    <t>0 temp   &lt;/= 5
1 - (9.4-1.46*temp + 0.092*temp^2  )/100    5&lt; temp &lt;/= 15
1 - (-167.9 + 11.74*temp)/100    15&lt; temp &lt;/= 20
1 - (-5.08 +7.23 * temp - 0.18*temp^2)/100     20&lt;  temp &lt;/ 39.54</t>
  </si>
  <si>
    <t>Ruiz-Moreno, 2016</t>
  </si>
  <si>
    <t>Ruiz-Moreno D, Vargas I, Olson K, Harrington LC: Modeling dynamic introduction of chikungunya virus in the United States. PLoS Negl Trop Dis 2012, 6:e1918.</t>
  </si>
  <si>
    <t>Egg diapause</t>
  </si>
  <si>
    <t>0      temp &lt; 0
-0.1 * temp + 1      0 &lt;/= temp &lt;/=10
1     10 &lt; temp</t>
  </si>
  <si>
    <t>f(temp) = 13.18 - 0.845* temp + 0.016* temp ^2</t>
  </si>
  <si>
    <t>Egg leaves diapause</t>
  </si>
  <si>
    <t>0      temp &lt; 0
0.1 * temp + 1      0 &lt;/= temp &lt;/=10
1     10 &lt; temp</t>
  </si>
  <si>
    <t>Larvea Mortailty</t>
  </si>
  <si>
    <t>1    temp &lt; 10
1 - (-136.08 + 17.8 * temp - 0.37*temp^2)/100    10 &lt;/= temp &lt;/ 38.5
1    38.5 &lt; temp</t>
  </si>
  <si>
    <t>f(temp) = 117.58 - 7.6 * temp +0.1321528* temp^2</t>
  </si>
  <si>
    <t>Adult mosquito mortaility</t>
  </si>
  <si>
    <t>1    temp &lt; -5
1 /(5.6 + 1.12 * temp)    -5 &lt;/=temp &lt; 15
1/(40.27 - 1.38 * temp + 0.01 * temp^2)   15 &lt;/= temp &lt;38.5
1     38.5 &lt; temp</t>
  </si>
  <si>
    <t>1/temp &lt;10
22/(113 - 2.4 * temp)    10 &lt;/= temp &lt;/= 32
2/3   32 &lt; temp</t>
  </si>
  <si>
    <t>Sloof et al 2024</t>
  </si>
  <si>
    <t>Poletti P, Messeri G, Ajelli M, Vallorani R, Rizzo C, Merler S. Transmission potential of chikungunya virus and control measures: the case of Italy. PloS one. 2011; 6(5):e18860. https://doi.org/10.1371/journal.pone.0018860 PMID: 2155932</t>
  </si>
  <si>
    <t>average daily mosquito mortality</t>
  </si>
  <si>
    <t>μ(T) = 1.33048 - 2.32772 × 10-1 × T + 1.68529 × 10-2 × T^2 - 5.61719 × 10-4 × T^3 + 7.91643 × 10-6 × T^4 - 2.72000 × 10-8 × T^5</t>
  </si>
  <si>
    <t>Tjaden et al 2021</t>
  </si>
  <si>
    <t>Ng, V.; Fazil, A.; Gachon, P.; Deuymes, G.; Radojević, M.; Mascarenhas, M.; Garasia, S.; Johansson, M. A.; Ogden, N. H., Assessment of the probability of autochthonous transmission of chikungunya virus in Canada under recent and projected climate change. Environ. Health Perspect. 2017, 125, (6), 067001 doi.10.1289/Ehp669.</t>
  </si>
  <si>
    <t>EIP = exp(log EIP_28) * (exp(beta_T * (T-28)))</t>
  </si>
  <si>
    <t>Proportion of mosquitoes surviving the EIP</t>
  </si>
  <si>
    <t>gamma = exp (-EIP/L)</t>
  </si>
  <si>
    <t>Adult Ae albopictus mortality rate</t>
  </si>
  <si>
    <t>mu(T)=1.33048–2.32772e−01T+ 1.68529e−02T^2–5.61719e−04T^3+7.91643e−06T^4–2.72000e−08T^5</t>
  </si>
  <si>
    <t>Ng et al 2017</t>
  </si>
  <si>
    <t>Brady O. 2013. Model of Adult Aedes albopictus Survival/Mortality at Different Temperatures. https://doi.org/https://figshare.com/articles/Model_of_adult_Aedes_albopictus_survival_mortality_at_different_temperatures/865035.
Brady OJ, Johansson M A, Guerra C A, Bhatt S, Golding N, Pigott D M,et al. 2013. Modelling adult Aedes aegypti and Aedes albopictus survival at different temperatures in laboratory and field settings. ParasitVectors6:351, https://doi.org/ 10.1186/1756-3305-6-351.</t>
  </si>
  <si>
    <t>Extrinsic Incubation period</t>
  </si>
  <si>
    <t>Brady OJ, Johansson M A, Guerra C A, Bhatt S, Golding N, Pigott D M,et al. 2013. Modelling adult Aedes aegypti and Aedes albopictus survival at different temperatures in laboratory and field settings. ParasitVectors6:351, https://doi.org/ 10.1186/1756-3305-6-351.
Chan M, Johansson MA. 2012. The incubation periods of Dengue viruses.PLoS One 7(11):e50972,PMID: 23226436, https://doi.org/10.1371/journal.pone.0050972.</t>
  </si>
  <si>
    <t>gamma = exp (-EIP/L) 
*L is 1/mut(T)</t>
  </si>
  <si>
    <t>DOI / Link</t>
  </si>
  <si>
    <t>Title</t>
  </si>
  <si>
    <t>Author</t>
  </si>
  <si>
    <t>Year</t>
  </si>
  <si>
    <t>Region / Location</t>
  </si>
  <si>
    <t xml:space="preserve">Modeling Objective </t>
  </si>
  <si>
    <t>Model Type</t>
  </si>
  <si>
    <t>Model Description</t>
  </si>
  <si>
    <t>Mosquito Species</t>
  </si>
  <si>
    <t>Data Sources</t>
  </si>
  <si>
    <t>Model Fitting</t>
  </si>
  <si>
    <t>Parameterization</t>
  </si>
  <si>
    <t>Temperature/Precipitation-dependent Parameters</t>
  </si>
  <si>
    <t>Temperature-dependent Funciton</t>
  </si>
  <si>
    <t>Temperature Equation Source</t>
  </si>
  <si>
    <t>Control Strategies</t>
  </si>
  <si>
    <t>Temperature/ Precipitation Related Assumptions</t>
  </si>
  <si>
    <t>Sensitivity Analysis</t>
  </si>
  <si>
    <t>Scenario Analysis</t>
  </si>
  <si>
    <t>Uncertainty Ananlysis</t>
  </si>
  <si>
    <t>Model Validation</t>
  </si>
  <si>
    <t>Metric Assessed</t>
  </si>
  <si>
    <t>Temperature/Precipitation Related Model Conclusions</t>
  </si>
  <si>
    <t>Key Limitations</t>
  </si>
  <si>
    <t>Additional Notes</t>
  </si>
  <si>
    <t>https://doi.org/10.1371/journal.pntd.0001918</t>
  </si>
  <si>
    <t>Modeling Dynamic Introduction of Chikungunya Virus in the United States</t>
  </si>
  <si>
    <t>Diego Ruiz-Moreno, Irma Sanchez Vargas, Ken E. Olson, Laura C. Harrington</t>
  </si>
  <si>
    <t>United States
Atlanta, New York, &amp; Miami</t>
  </si>
  <si>
    <t>Explicitly evaluated the risk of epidemic events by simulating the introduction of Chikungunya virus into three naive US populations</t>
  </si>
  <si>
    <t>Compartmental - STOCHASTIC</t>
  </si>
  <si>
    <t xml:space="preserve"> Density-dependent Stochastic Compartmental Model
Humans: SEIR w/ asymptomatic &amp; symptomatic
Mos: SEIR w/ additional life cycle stages for egg (G), diapause egg (D), &amp; pupae/larvae (L)</t>
  </si>
  <si>
    <t>Not specified</t>
  </si>
  <si>
    <r>
      <rPr>
        <rFont val="Roboto"/>
        <sz val="10.0"/>
      </rPr>
      <t xml:space="preserve">Egg  &amp; Larvae survival/development: experimental data &amp; literature (47,48)
Adult Longevity: experimental data from the literature (49)
Monthly mean temperature data: http://www.ipcc-data.org
Population sizes &amp; carrying capacity parameters for humans: </t>
    </r>
    <r>
      <rPr>
        <rFont val="Arial"/>
        <color rgb="FF1155CC"/>
        <sz val="10.0"/>
        <u/>
      </rPr>
      <t>http://www.census.gov</t>
    </r>
  </si>
  <si>
    <t>Temperature-dependent parameters were fitted to mosquito experimental data</t>
  </si>
  <si>
    <t xml:space="preserve">Non-temperature: Literature 
Temperature: Experimental </t>
  </si>
  <si>
    <t>Adult Mos mortality
Egg mortality
Egg maturation rate
Larval maturation rate
Extrinsic incubation period
Fraction of eggs entering diapause
Fraction of eggs leaving diapause</t>
  </si>
  <si>
    <t>Stepwise</t>
  </si>
  <si>
    <t>Author developed using data fitting</t>
  </si>
  <si>
    <t>N/A</t>
  </si>
  <si>
    <t>CHIKV extrinsic incubation period (EIP) was assumed to be reduced with increasing temperature (up to 32 °C) as with other arboviruses such as DENV (50).
Assumed transmission rates from earlier experimental work (52)
Mos population carrying capacity was calculated assuming the maximum number of vectors per host</t>
  </si>
  <si>
    <t>Sims were replicated, varying the ratio of mosquitoes to humans ( 0.5, 1, &amp; 3 ) &amp;  reducing the mosquito feeding pattern for human blood from 100% to 25%.</t>
  </si>
  <si>
    <t>Calculated the final # of infective individuals, the # of infected at the outbreak peak, and the time to reach the outbreak peak from the day of introduction for each one of 1000 Monte Carlo simulations.
Probability of outbreak was defined as the frequency of cases where the chain of infection was functional (i.e., # of infected individuals &gt; 1).
Calculated the risk of an outbreak as the mean of the final epidemic size (summation of all infected individuals) over the average susceptible population size</t>
  </si>
  <si>
    <t>Outbreak risk was seasonal in Atlanta (Jun-Nov) and New York (Jul-Nov). Miami was at risk if the virus was introduced at anypoint during the year.
Peak infection rate  found to vary significantly between locations &amp; w/ the ratio of vectors to hosts &amp; human feeding patterns.
When human blood feeding is set to 100%, the epidemic peaks occur within 20 days for cities in cooler climates (New York) and approximately one to three months for warmer locations. In these warmer locations, several secondary cases are expected to follow the index case, and the stochastic interruptions of the chain of infection can only slow the development of the epidemic, rather than stopping it.</t>
  </si>
  <si>
    <t>The model used average monthly temperature data.
The model does not account for rainfall or photoperiod.</t>
  </si>
  <si>
    <t>Time horizon is 5 years
The results presented here simulating significant CHIK outbreaks in the US were based on a conservative approach of one exposed individual introduced to a region. Given CHIKV infections in returning US travelers and the low numbers of infected individuals needed to spark an outbreak, it was concluded that US health systems should be vigilant.</t>
  </si>
  <si>
    <r>
      <rPr>
        <rFont val="Roboto"/>
        <color rgb="FF1155CC"/>
        <sz val="10.0"/>
        <u/>
      </rPr>
      <t>https://doi.org/10.3390/vaccines13121181</t>
    </r>
  </si>
  <si>
    <t>Modeling Outbreak Prediction and the Impact of Emergency Vaccination on the 2024–2025 Chikungunya Outbreak in La Réunion</t>
  </si>
  <si>
    <t>Martijn Boer, Gerard Timmy Vondeling, Eric Plennevaux, Adrianne Marije de Roo</t>
  </si>
  <si>
    <t>La Réunion</t>
  </si>
  <si>
    <t>Assess the potential size of the CHIKV outbreak in La Réunion and assess the impact of an emergency vaccination program with IXCHIQ®</t>
  </si>
  <si>
    <t>Stochastic SEIR-SEI model w/ vaccinated health state added to the human compartment to simulate the emergency vaccination program scenario
Human was considered susceptible if they had neither received vaccination nor acquired natural immunity from the previous outbreak
These expected values were used as inputs for a Poisson function. Using random number generation for probability values, we were able to obtain discrete values at each time step. 50 different random seeds for the random number generation, ensuring the reproducibility of results. Opting for this stochastic approach with discrete values allowed us to account for the inherent randomness of virus outbreaks. Each random seed yields different results, representing the various trajectories that the outbreak could potentially take</t>
  </si>
  <si>
    <t>Epidemiological outbreak surveillance data and daily temperature data.</t>
  </si>
  <si>
    <t>Fitted the entire model to human surveillance data</t>
  </si>
  <si>
    <t>Literature and observed</t>
  </si>
  <si>
    <t>Intrinsic incubation rate
Offspring number
Mortality rate</t>
  </si>
  <si>
    <t>Exponential, Polynomial</t>
  </si>
  <si>
    <t>Yang, H.; Macoris, M.; Galvani, K.; Andrighetti, M.; Wanderley, D. Assessing the effects of temperature on the population of Aedes aegypti, the vector of dengue. Epidemiol. Infect. 2009, 137, 1188–1202.</t>
  </si>
  <si>
    <t>Vector control
Vaccination - the core structure of this model does not account for age groups; they did not dynamically incorporate age-targeted vaccination strategies. Instead, calculated the overall proportion of the population that would be vaccinated in this scenario.
Timing of the vaccination campaign initiations. The vaccination program is assumed to commence after a specific number of cases have been detected.</t>
  </si>
  <si>
    <t>Assumed a gradual decline in the biting rate, leading to the end of the outbreak by July. Assumed the end of the outbreak to be in July based on historical data from the previous outbreak.</t>
  </si>
  <si>
    <t xml:space="preserve"> 6 total scenarios: 
Simulated three vaccination scenarios, representing intervention after 100, 3000, and 40,000 cases.
Vector control of 10% &amp; 20%</t>
  </si>
  <si>
    <t>Compared hindcasts for weeks 8–13 to subsequently published surveillance totals (20,242 cases by 23 March 2025), which fell within the middle 50% of our predictive interval</t>
  </si>
  <si>
    <t xml:space="preserve">Outbreak final size
</t>
  </si>
  <si>
    <t>The timing of the outbreak peak was based on expert opinion, and the end of the outbreak was estimated using historical data; therefore, the actual trajectory of the outbreak may differ from our predicted course.
Assumes a homogenous population without spatial heterogeneity or clustering, meaning infections are evenly distributed rather than concentrated in specific areas.
Current vector control measures are accounted for through model calibration; assumptions were necessary regarding potential improvements of these measures, with scenarios modeled at a 10% and 20% increase in effectiveness.</t>
  </si>
  <si>
    <t>Any interventions undertaken in La Réunion during the calibration period that have an impact on the outbreak size—whether public measures such as using mosquito nets and emptying potential breeding sites or government actions like pesticide use—were incorporated in the model through their effect on the calibrated biting rate.
These findings underscore the importance of early detection, rapid start of vaccination campaigns, and real-time surveillance integration into outbreak response plans.</t>
  </si>
  <si>
    <r>
      <rPr>
        <rFont val="Arial"/>
        <color rgb="FF1155CC"/>
        <sz val="10.0"/>
        <u/>
      </rPr>
      <t>https://doi.org/10.1093/trstmh/trv114</t>
    </r>
  </si>
  <si>
    <t>The impact of rainfall and temperature on the spatial progression of cases during the chikungunya re-emergence in Thailand in 2008-2009.</t>
  </si>
  <si>
    <t>Sudarat Chadsuthi, Sopon Iamsirithaworn, Wannapong Triampo, and Derek A.T. Cummings</t>
  </si>
  <si>
    <t>Thailand</t>
  </si>
  <si>
    <t>Assess the impact of climate variation on the transmission of CHIKV during the emergence in 2008 using multiple competing mathematical models of the transmission dynamics of CHIKV.</t>
  </si>
  <si>
    <t>Followed the SEIR compartmental model from Dumont Y, Chiroleu F, Domerg C. On a temporal model for the Chikungunya disease: modeling, theory and numerics. Math Biosci 2008;213:80–91
This paper refers to 4 models being fitted; this is how they are incorporating the temperature-dependent parameters. The structure of the compartments is not changing.</t>
  </si>
  <si>
    <t>Clinical CHIKV cases reported from August 2008 to October 2009 aggregated by week and district. The model focuses on cases from the southernmost districts.
Data on rainfall and temperature variation in Thailand from the National Climate Data Center (NCDC). Time series of weekly cumulative rainfall and weekly average of temperature; to eliminate discontinuities, natural splines were used.</t>
  </si>
  <si>
    <t>Fit to reported data on CHIKV incidence by the Bureau of Epidemiology, Department of Disease Control, Ministry of Public Health, Thailand</t>
  </si>
  <si>
    <t>Parameters of these models were estimated using a genetic optimization algorithm to find the coefficients of the linear function that maximize the likelihood of the observed data. 
Some parameters came from the literature.</t>
  </si>
  <si>
    <t>Transmission probability (bmh) model 1
Number of eggs ar each deposit per capita (mub) model 2
Extrinsic incubation period (1/vm) model 3
Mortality rate for larvae (muL) model 4</t>
  </si>
  <si>
    <t>Linear</t>
  </si>
  <si>
    <t>The model assumes that temperature and rainfall affects the fertility of mosquitoes using rainfall at a specific lag time.</t>
  </si>
  <si>
    <t>First measured the fit of parameters at Yi-ngo (the first district where caseswere detected) at multiple temporal lags of rainfall and temperature. They selected the lag that maximized the likelihood of the data and then used this lag for all other districts.</t>
  </si>
  <si>
    <t>Model fit and correlation between climate data and transmission</t>
  </si>
  <si>
    <t xml:space="preserve">Model 3 (extrinsic incubation) did not fit well with the climate data and was excluded from consideration at other districts.  They found that the full model with all elements of models 1, 2, and 4 performed best, but was still statistically significantly different from a saturated model in performance. The model that assumes that temperature and rainfall affects the fertility of mosquitoes using rainfall at a lag of 3 weeks and using district-level covariates provides the best fit to data from the 109 districts in southern Thailand.
Both rainfall and temperature were positively correlated with the transmission probability. Districts south of 6.9 degrees latitude had a high positive correlation with rainfall while districts north of 6.9 degrees latitude showed a greater positive correlation with temperature. As a result, transmission probabilities were higher in the extreme south during the rainy season than they were in the latitudes greater than 6.9 degrees.
</t>
  </si>
  <si>
    <t>Constrained by the limited amount of climate data available to fit the case data. If datawere available frommoreweather stations,wemight have been able to more effectively resolve the micro-scale impact of climate.
The quality of surveillance could have affected the results. Models and the fit to cases depend greatly on the temporaldistribution of the data (rather than absolute numbers), and so it is expected that the results will be robust to differences in reporting efficiency across districts. However, temporal changes in reporting efficiency could have greatly affected results.
Did not consider several non-climate-related covariates that could be important determinants of CHIKV incidence including population density, land-use, host and vector movement.</t>
  </si>
  <si>
    <t>This paper used statistical methods to fit linear models for temporal parameters.</t>
  </si>
  <si>
    <r>
      <rPr>
        <rFont val="Arial"/>
        <color rgb="FF1155CC"/>
        <sz val="10.0"/>
        <u/>
      </rPr>
      <t>https://doi.org/10.1016/j.mbs.2025.109597</t>
    </r>
  </si>
  <si>
    <t>Quantifying the risk of long-term chikungunya persistence in Miami-Dade county</t>
  </si>
  <si>
    <t>Antonio Gondim, Leonardo Schultz, Xi Huo , Shigui Ruan</t>
  </si>
  <si>
    <t>Florida 
Miami-Dade</t>
  </si>
  <si>
    <t>Identify seasonal windows of heightened endemic risk and evaluate the impact of vector control strategies on mitigating the likelihood of persistent transmission.</t>
  </si>
  <si>
    <t>The model consists of three main interacting components: the human population (SEIR), the adult mosquito population (SEI), and the larval mosquito population (SI). 
A time-nonhomogeneous Markov process, where time is sampled from an exponential distribution and the state variables are discrete, can be formulated based on the transition rates from the ODE system of equations. To derive a stochastic threshold for Chikungunya transmission, they apply the theory of multitype branching processes to approximate the time-nonhomogeneous stochastic process near the DFE.</t>
  </si>
  <si>
    <t>Temperature Data: NASA Langley Research Center, POWER | DAV, 2024, https://power.larc.nasa.gov/data-access-viewer/, Accessed: 2024-12-04,</t>
  </si>
  <si>
    <t>From the literature</t>
  </si>
  <si>
    <t>Mosquito natural death rate
Mosquito biting rate
Larvae death rate
Larvae birth rate
Mosquito progression rate from exposed to infectious</t>
  </si>
  <si>
    <t>D. McLean, A. Clarke, J. Coleman, C. Montalbetti, A. Skidmore, T. Walters, R. Wise, Vector capability of Aedes aegypti mosquitoes for California encephalitis and dengue viruses at various temperatures, Can. J. Microbiol. 20 (2) (1974) 255–262. https://doi.org/10.1139/m74-040.
D.A. Focks, E. Daniels, D.G. Haile, J.E. Keesling, A simulation model of the epidemiology of urban dengue fever: literature analysis, model development, preliminary validation, and samples of simulation results, Am. J. Trop. Med. Hyg. 53 (5) (1995) 489–506. https://doi.org/10.4269/ajtmh.1995.53.489
L.D. Valdez, G.J. Sibona, C.A. Condat, Impact of rainfall on Aedes aegypti popula-tions, Ecol. Model. 385 (2018) 96–105.</t>
  </si>
  <si>
    <t>Public health interventions targeting to reduce the biting rates and the carrying capacity</t>
  </si>
  <si>
    <t xml:space="preserve">Assumed that all time dependent parameters are positive 𝑤−periodic continuous functions, existing 𝑤&gt;0, except for 𝑓∶ℝ+→ℝ+, which is considered to be a nonnegative piece-wise continuous function.
</t>
  </si>
  <si>
    <t>Computed the Floquet multipliers of the linearized infected subsystem for varying values of the biting-rate multiplier 𝑏 multand the carrying-capacity multiplier 𝛼</t>
  </si>
  <si>
    <t>Public health interventions targeting to reduce the biting rates and the carrying capacity, as well as considering distinct external introductions of infectious individuals during different periods of the year</t>
  </si>
  <si>
    <t>Risk/probability of long-term establishment in Miami-Dade County</t>
  </si>
  <si>
    <t>Dense introductions during summer (e.g., July) result in larger outbreaks and sustained disease persistence across years, followed by dense introductions in January, and finally sparsely distributed introductions throughout the year, highlighting the season’s heightened transmission risk</t>
  </si>
  <si>
    <t>The model used a periodic and time-dependent average temperature function for Miami rather than using daily temperature data.</t>
  </si>
  <si>
    <t>7-year time horizon with reintroduction of the disease</t>
  </si>
  <si>
    <r>
      <rPr>
        <rFont val="Helvetica, Arial, sans-serif"/>
        <color rgb="FF1155CC"/>
        <sz val="10.0"/>
        <u/>
      </rPr>
      <t>https://doi.org/10.1371/journal.pntd.0004762</t>
    </r>
  </si>
  <si>
    <t>Potential Risk of Dengue and Chikungunya Outbreaks in Northern Italy Based on a Population Model of Aedes albopictus (Diptera: Culicidae)</t>
  </si>
  <si>
    <t>Giorgio Guzzetta, Fabrizio Montarsi, Frédéric Alexandre Baldacchino, Markus Metz, Gioia Capelli, Annapaola Rizzoli, Andrea Pugliese, Roberto Rosà, Piero Poletti, Stefano Merler</t>
  </si>
  <si>
    <t>Northern Italy
Belluno &amp; Trento Provinces</t>
  </si>
  <si>
    <r>
      <rPr>
        <rFont val="Arial"/>
        <color theme="1"/>
        <sz val="10.0"/>
      </rPr>
      <t xml:space="preserve">Estimate the potential risk of outbreaks of chikungunya and dengue in northern Italy related to the abundance of </t>
    </r>
    <r>
      <rPr>
        <rFont val="Arial"/>
        <i/>
        <color theme="1"/>
        <sz val="10.0"/>
      </rPr>
      <t>Ae. albopictus</t>
    </r>
    <r>
      <rPr>
        <rFont val="Arial"/>
        <color theme="1"/>
        <sz val="10.0"/>
      </rPr>
      <t xml:space="preserve"> mosquitoes</t>
    </r>
  </si>
  <si>
    <t>Compartmental - DETERMINISTIC</t>
  </si>
  <si>
    <t xml:space="preserve">Mos: SEI  w/ ODE population model for life cycle dynamics 
Human: SEIR </t>
  </si>
  <si>
    <t>Aedes albopictus</t>
  </si>
  <si>
    <t>Trapped mosquitoes between mid-April and the beginning of November 2014
Land surface temperature for 2014 was obtained from the MODIS version 5 LST products MOD11A1 and MYD11A1 with four records per day and a spatial resolution of 1000 m. Outlier filtering and gap filling was performed to enhance the spatial resolution to 250m with daily averages calculated from the four records per day of the reconstructed dataset.</t>
  </si>
  <si>
    <t>Performed on the population model using MCMC</t>
  </si>
  <si>
    <t xml:space="preserve">Surveillance data
Expirements
Literature
</t>
  </si>
  <si>
    <t>Mortality rate
Development from one stage to the next
Gonotrophic cycle</t>
  </si>
  <si>
    <t>Polynomial</t>
  </si>
  <si>
    <t>Poletti P, Messeri G, Ajelli M, Vallorani R, Rizzo C, Merler S. Transmission potential of chikungunya virus and control measures: the case of Italy. PLoS One. 2011 May 3; 6(5):e18860. doi: 10.1371/ journal.pone.0018860 PMID: 21559329
Erickson RA, Presley SM, Allen LJ, Long KR, Cox SB. A stage-structured, Aedes albopictus population model. Ecological Modelling. 2010 May 10; 221(9):1273–82.
Tran A, L'Ambert G, Lacour G, Benoît R, Demarchi M, Cros M, Cailly P, Aubry-Kientz M, Balenghien T, Ezanno P. A rainfall-and temperature-driven abundance model for Aedes albopictus populations. International journal of environmental research and public health. 2013 Apr 26; 10(5):1698–719. doi: 10. 3390/ijerph10051698 PMID: 23624579</t>
  </si>
  <si>
    <t>Performed on initiall number of mosquito eggs and +/- 2C of daily temperature</t>
  </si>
  <si>
    <t>Biting rate: Tested values at the top and bottom of the credible interval from the source for the parameter</t>
  </si>
  <si>
    <t>Compared results with 2007 outbreak data</t>
  </si>
  <si>
    <t>Risk of oubreak (R0)</t>
  </si>
  <si>
    <t>Negative Correlation with average daily rainfall (-0.82 p=0.004). Positive Correlation with average daily temperature (0.67 p=0.034).
May 1st—June 5th strong negative correlation between precipitation and carrying capacity (average Spearman’s ρ = -0.76; 95% CI: -0.69 –-0.82).
“Chikungunya season”  was defined as the period over which the probability of observing an outbreak is higher than zero. The probability of an outbreak, averaged within each site’s chikungunya season, ranges from 4.9% in Tezze over a period of just below two months (end July to mid-September), to 25% in Feltre for a duration of 4.5 months covering the whole summer and up to mid-November.</t>
  </si>
  <si>
    <t>Limitation of population dynamics models applied to arbovirus vectors is the lack of biological data for the endemic mosquito strain under local, possibly natural, environmental conditions.
The limitation of these risk maps is the use of spatially-constant values for the parameter encoding the local availability and productivity of breeding sites.</t>
  </si>
  <si>
    <r>
      <rPr>
        <rFont val="Arial"/>
        <color rgb="FF1155CC"/>
        <sz val="10.0"/>
        <u/>
      </rPr>
      <t>https://doi.org/10.1016/j.scitotenv.2018.07.461</t>
    </r>
  </si>
  <si>
    <t>Temperature dependent transmission potential model for chikungunya in India</t>
  </si>
  <si>
    <t>Satya Ganesh Kakarla, Rajasekhar Mopuri, Srinivasa Rao Mutheneni, Kantha Rao Bhimala, Sriram Kumaraswamy, Madhusudhan Rao Kadiri, Krushna Chandra Gouda, Suryanaryana Murty Upadhyayula</t>
  </si>
  <si>
    <t>India</t>
  </si>
  <si>
    <t>Developed an R0 model for chikungunya using temperature-dependent biting rate (the average blood meal frequency), vector to host and host to vector transmission of chikungunya virus, extrinsic incubation period (EIP) and mortality rate.</t>
  </si>
  <si>
    <t>Adapted from Degallier et al 2010</t>
  </si>
  <si>
    <t>Aedes aegypti</t>
  </si>
  <si>
    <t>0.5x0.5 gridded monthly mean surface air temperature and rainfall data from Global Historical Climatology Network version 2, Global Precipitation Climatology Centre, and the Climate Anomaly Monitoring System</t>
  </si>
  <si>
    <t>Biting rate
Human to vector transmission probability
Vector to human transmission probability
Extrinsic incubation period
Mortality rate</t>
  </si>
  <si>
    <t>Linear, Polynomial, Exponential</t>
  </si>
  <si>
    <t>"Liu-Helmersson, J., Stenlund, H., Wilder-Smith, A., Rocklöv, J., 2014. Vectorial capacity of Aedes aegypti: effects of temperature and implications for global dengue epidemic potential. PLoS One 9, e89783.
Scott, T.W., Amerasinghe, P.H., Morrison, A.C., Lorenz, L.H., et al., 2000. Longitudinal studies of Aedes aegypti (Diptera: Culicidae) in Thailand and Puerto Rico: blood feeding frequency. J. Med. Entomol. l37, 89–101."
Lambrechts, L., Paaijmans, K.P., Fansiri, T., Carrington, L.B., et al., 2011. Impact of daily temperature fluctuations on dengue virus transmission by Aedes aegypti. Proc. Natl. Acad. Sci. 108, 7460–7465.
Lambrechts, L., Paaijmans, K.P., Fansiri, T., Carrington, L.B., et al., 2011. Impact of daily temperature fluctuations on dengue virus transmission by Aedes aegypti. Proc. Natl. Acad. Sci. 108, 7460–7465.
Focks, D., Daniels, E., Keesling, J., 1995. A simulation model of the epidemiology of urban dengue fever: literature analysis, model development, preliminary validation, and samples of simulation results. Am. J. Trop. Med. Hyg. 53, 489–506.
Yang, H.M., Macoris, M.L., Galvani, K.C., Andrighetti, M.T., Wanderley, D.M., 2009. Assessing the effects of temperature on the population of Aedes aegypti, the vector of dengue. Epidemiol. Infect. 137, 1188–1202</t>
  </si>
  <si>
    <t>Optimal temperature for chikungunya transmission between 15 °C and 35 °C. R0 peak  is 29 °C and declined to zero
below 17 °C and above 34 °C.</t>
  </si>
  <si>
    <t>Apart from climatic conditions, higher resolution of spatial and accurate data will be required on exposure and susceptibility of population, socioeconomic factors, movement of population, travelling, immunity and surveillance data are required for developingmuch more advanced predictive model</t>
  </si>
  <si>
    <t>The subsection "epidemiology scenario" reports the incidence but the authors do not compare the incidence to the R0 output of the model</t>
  </si>
  <si>
    <t>https://doi.org/10.1016/j.cnsns.2020.105409</t>
  </si>
  <si>
    <t>Dynamics of a periodic Chikungunya model with temperature and rainfall effects</t>
  </si>
  <si>
    <t>Xianning Liu , Yan Wang, Xiao-Qiang Zhao</t>
  </si>
  <si>
    <t>Ceara, Brazil</t>
  </si>
  <si>
    <t>Develope a model with three major aspects: (1) incorporating the temperature and rainfall effects into the model of Chikungunya transmission; (2) considering the time-dependent maturation delay, time-dependent extrinsic incubation period and constant intrinsic incubation period; and (3) dividing the infected population into asymptomatic and symptomatic compartments, and considering treatment strategy for symptomatic individuals.</t>
  </si>
  <si>
    <t>Human: SEIR
Mosquitoes: dry eggs E d , wet eggs E w , larvae L m , susceptible mature female mosquitoes S m , exposed mature female mosquitoes E m , and infectious mature female mosquitoes I m .</t>
  </si>
  <si>
    <t>Monthly average temperature and rainfall: https:// climateknowledgeportal.worldbank.org/country/brazil/climate- data- historical</t>
  </si>
  <si>
    <t>Literature</t>
  </si>
  <si>
    <t xml:space="preserve">Extrinsic incubation period
Daily biting rate
Mortality of adult mosquitoes 
Temperature-dependetn maturation delay
Birthrate of dry eggs
Maturation of wet eggs to larvae
Mortality rate of larvae per day
</t>
  </si>
  <si>
    <t>Exponential, Polynomial, Linear</t>
  </si>
  <si>
    <t>Silva JVJ , Ludwig-Begall LF , de Oliveira-Filho EF , Oliveira RAS , Duraes-Carvalho R , Lopes TRR , et al. A scoping review of Chikungunya virus infection: epidemiology, clinical characteristics, viral co-circulation complications, and control. Acta Trop 2018;188:213–24 .
Focks, D., Daniels, E., Keesling, J., 1995. A simulation model of the epidemiology of urban dengue fever: literature analysis, model development, preliminary validation, and samples of simulation results. Am. J. Trop. Med. Hyg. 53, 489–506.
Kakarla SG , Mopuri R , Mutheneni SR , Bhimala KR , Kumaraswamy S , Kadiri MR , et al. Temperature dependent transmission potential model for Chikun- gunya in India. Sci Total Environ 2019;647:66–74 .
Valdez LD , Sibona GJ , Condat CA . Impact of rainfall on Aedes aegypti populations. Ecol Model 2018;385:96–105 .
Wang X , Zou X . Threshold dynamics of a temperature-dependent stage-structured mosquito population model with nested delays. Bull Math Biol 2018;80(7):1962–87 .</t>
  </si>
  <si>
    <t>Partial rank correlation coefficient</t>
  </si>
  <si>
    <t>Rm (Mos reproductive number) and R0</t>
  </si>
  <si>
    <t>The number of infectious humans and mosquitoes would have been overes- timated if rainfall is not taken into account.
[ R m ] is more sensitive to [ τw ], [ μb ] and [ κd ], followed by [ μL ] and [ μE ]. [ R 0 ] is more sensitive to [ αh ], [ αm ] and [ μm ], followed by [ τw ] and [ ηh ]. Thus, the corresponding control measures should be taken for these sensitive parameters.</t>
  </si>
  <si>
    <t>At the moment we have not obtained the monthly new CHIKV cases for the Cearástate, so we are unable to compare the infected numbers predicted by our model with the real data. In addition, we have ignored the duration of the egg phase and the effect of rainfall on the mosquito’s other phases</t>
  </si>
  <si>
    <t xml:space="preserve">The model uses temperature-dependent parameters then converts them to periodic seasaonal parameters </t>
  </si>
  <si>
    <t>https://doi.org/10.1016/j.apm.2019.11.038</t>
  </si>
  <si>
    <t>Dynamics of a climate-based periodic Chikungunya model with incubation period</t>
  </si>
  <si>
    <t>Xianning Liu, Yan Wang, Xiao-Qiang Zhao</t>
  </si>
  <si>
    <t>Delhi, India</t>
  </si>
  <si>
    <t>Formulate a climate-based Chikungunya model with time-varying parameters and time-dependent extrinsic incubation period and apply the model to a case study of Chikungunya spread in Delhi India</t>
  </si>
  <si>
    <t>Human: SEIR
Mosquitos: L m ( t ) be the number of larvae at time t, which represents the mosquito population throughout the aquatic stage. Let S m ( t ), E m ( t ) and I m ( t ) be the number of susceptible, exposed and infectious mature female mosquitoes at time t.</t>
  </si>
  <si>
    <t>Census Organization of India 2011 (see https://census2011.co.in/ )
CIA World Factbook (see https://www.cia.gov/library/publications/ resources/the- world- factbook/geos/in.html ), the life expectancy of Delhi
Monthly mean temperatures of Delhi from Climate Change Knowledge Portal website (see http://sdwebx.worldbank.org/climateportal</t>
  </si>
  <si>
    <t>Extrinsic incubation period
Daily biting rate
mortality per day
Birthrate of dry eggs
Maturation of rate
Death rate of larvae</t>
  </si>
  <si>
    <t>Exponential, Linear, Polynomial</t>
  </si>
  <si>
    <t>Control strategies for adult mosquitoes such as insecticide-treated bed net use and assume that the effectiveness N (0 &lt; N &lt; 1) and used this to modulate the biting rate.</t>
  </si>
  <si>
    <t>Performed by testing a range of values for: average birth rate (mos) and amplitude of fluctations (mos)</t>
  </si>
  <si>
    <t>States there is model validation, but the results are not compared against real world data</t>
  </si>
  <si>
    <t>Rv (vector reproductive number) and R0</t>
  </si>
  <si>
    <t>The results were framed based on time-dependence</t>
  </si>
  <si>
    <t>At present, due to the lack of the monthly new CHIKV cases for Delhi, India, we cannot compare the number of infected people predicted by our model with the real data.</t>
  </si>
  <si>
    <t xml:space="preserve">Based on this model, we will consider more realistic situations where the maximal larval capacity K is also time-dependent and the mosquitoes have different aquatic stages (see, e.g., [50] ). 
The model uses temperature-dependent parameters then converts them to periodic seasaonal parameters </t>
  </si>
  <si>
    <r>
      <rPr>
        <rFont val="Arial"/>
        <color rgb="FF1155CC"/>
        <sz val="10.0"/>
        <u/>
      </rPr>
      <t>https://doi.org/10.1016/j.rico.2023.100206</t>
    </r>
  </si>
  <si>
    <t>Dynamic modelling and optimal control analysis of a fractional order chikungunya disease model with temperature effects</t>
  </si>
  <si>
    <t>Eva Lusekelo, Mlyashimbi Helikumi, Dmitry Kuznetsov, Steady Mushayabasa</t>
  </si>
  <si>
    <t>Kadmat, India</t>
  </si>
  <si>
    <t>Demonstrate that a Caputo derivative can be used to model Chickungunya.
Find a treble of controls strategies thethat minimize the number of infected humans and the cost of implementing the control</t>
  </si>
  <si>
    <t>Human: susceptible 𝑆ℎ(𝑡), latent 𝐸ℎ(𝑡), infectious symptomatic, 𝐼ℎ𝑠(𝑡), infectious asymptomatic 𝐼ℎ𝑎(𝑡), and recovered with lifelong immunity 𝑅ℎ(𝑡).
The life cycle of mosquitoes is divided into aquatic 𝐴𝑣(𝑡) (including eggs, larvae and pupaes) and adult 𝑁𝑣(𝑡) stages. The adult population is further subdivided into susceptible 𝑆𝑣(𝑡), latent 𝐸𝑣(𝑡) and infectious 𝐼𝑣(𝑡) stages.</t>
  </si>
  <si>
    <t>2007 CHIKV outbreak data for Kadmat, India collected over 60 days.</t>
  </si>
  <si>
    <t>The fitting process in this study was performed using the least squares method and Nelder–Mead algorithm</t>
  </si>
  <si>
    <t>Literature. 
Fitted using RMSE to 2007 CHIKV outbreak data for Kadmat, India collected over 60 days [23].</t>
  </si>
  <si>
    <t>Average blood meal frequency
Probabability of transmission from infected human to susceptible mosquito
Probabability of transmission from infected mosquito to susceptible human
Extrinsic incubation period
mortaility rate of Ae. aegypti
Intrinsic oviposition rate of adult
Aquatic transition rate to adult stage
Mortality rate of aquatic Ae. aegypti</t>
  </si>
  <si>
    <t>Linear, Parabolia - sq root, Polynomial</t>
  </si>
  <si>
    <t xml:space="preserve">Kakarla SG, Mopuri R, Mutheneni SR, Bhimala KR, Kumaraswamy S, Kadiri MR, Gouda KC, Upadhyayula SM. Temperature dependent transmission potential model for chikungunya in India. Sci Total Environ 2019;647:66–74.
Lambrechts L, Paaijmans KP, Fansiri T, Carrington LB, Kramer LD, Thomas MB, Scott TW. Impact of daily temperature fluctuations on dengue virus transmission by Aedes aegypti. Proc Natl Acad Sci 2011;108(18):7460–5.
Scott TW, Amerasinghe PH, Morrison AC, Lorenz LH, Clark GG, Strickman D, Kittayapong P, Edman JD. Longitudinal studies of Aedes aegypti (Diptera: Culicidae) in Thailand and Puerto Rico: blood feeding frequency. J Med Entomol 2000;37(1):89–101.
Yang H, Macoris M, Galvani K, Andrighetti M, Wanderley D. Assessing the effects of temperature on the population of Aedes aegypti, the vector of dengue. Epidemiol Infect 2009;137(8):1188–202.
Zhu G, Liu T, Xiao J, Zhang B, Song T, Zhang Y, Lin L, Peng Z, Deng A, Ma W, et al. Effects of human mobility, temperature and mosquito control on the spatiotemporal transmission of dengue. Sci Total Environ 2019;651:969–78.
</t>
  </si>
  <si>
    <t>Larvicide spraying
Increasing use of physical barriers
Insectidcide</t>
  </si>
  <si>
    <t>Partial rank correlation coefficient (PRCC) to investigate the relationship between 𝑅0 and the model parameters. PRCC technique makes use of the Latin Hypercube Sampling method.</t>
  </si>
  <si>
    <t>Control strategies were visualized using a contour plot</t>
  </si>
  <si>
    <t>Temperature from 23.6 ◦C to 32.5 to determine the lower and upper bounds for each of the temperature-dependent parameters.</t>
  </si>
  <si>
    <t>Daily chikungunya fever cases reported at Kadmat primary health centre from 2 July to 30 August
2007</t>
  </si>
  <si>
    <t>R0
Average Cost Effectiveness Ratio (ACER)</t>
  </si>
  <si>
    <t>Did not use temperature data from the outbreak to inform the model (they used a range instead)</t>
  </si>
  <si>
    <t>The primary focus of the model was the ODE derivative type and the three control strategies</t>
  </si>
  <si>
    <t>https://doi.org/10.1186/s12889-025-24923-2</t>
  </si>
  <si>
    <t>Evaluating chikungunya outbreak size and emergency vaccination strategies in Miami: an exploratory modeling study</t>
  </si>
  <si>
    <t>A. M. de Roo, M. Boer, G. T. Vondeling, T. Louwsma, A. C. Sloof, M. J. Postma, C. N. Mores, R. C. Christofferson, J. van der Schans and L. A. de Jong</t>
  </si>
  <si>
    <t>Miami, Florida</t>
  </si>
  <si>
    <t>Exploratory, scenario-based modeling analysis to estimate the possible size of a chikungunya outbreak in Miami and to evaluate the effectiveness of an emergency vaccination program with IXCHIQ.</t>
  </si>
  <si>
    <t>Human host population was divided into Susceptible (Sh), Exposed (Eh), Infectious (Ih), and Recovered (Rh) compartments, and the mosquito vector population in Susceptible (Sm), Exposed (Em), and Infectious (Im)
Stochasticity was introduced to the model by applying Poisson sampling to the transition rates between the compartments. Monte Carlo simulations were conducted by running the model 250 times for each starting month across all 12 months, resulting in 3000 simulations per scenario.</t>
  </si>
  <si>
    <t>Literature
Assumption</t>
  </si>
  <si>
    <t>Offspring Number
Mortality rate per day
Extrinsic incubation rate per day</t>
  </si>
  <si>
    <t>Polynomial, Exponential</t>
  </si>
  <si>
    <t>Yang H, Macoris M, Galvani K, Andrighetti M, Wanderley D. Assessing the effects of temperature on the population of Aedes aegypti, the vector of dengue. Epidemiol Infect 2009;137(8):1188–202.
Kakarla SG, Mopuri R, Mutheneni SR, Bhimala KR, Kumaraswamy S, Kadiri MR, Gouda KC, Upadhyayula SM. Temperature dependent transmission potential model for chikungunya in India. Sci Total Environ 2019;647:66–74.</t>
  </si>
  <si>
    <t>Emergency response vaccination program with IXCHIQ. This was modeled as an additional compartment. A vaccination coverage of 10% was used in the base case, with this coverage assumed to be reached gradually over 30 days after initiation.</t>
  </si>
  <si>
    <t>Investigated vector-host ratios of  (0.75, 1.0, 1.5, and 2.0)
Scenarios with vaccination coverage rates of 5%, 10%, 15%, 20%, and 30% over the total population were included.
In the Apednix: evaluated the effect of importing multiple cases simultaneously, compared to the base case of a single imported case. Second, we assessed the impact of delayed outbreak detection, modeling detection after 100 cases rather than 20 as in the base case.</t>
  </si>
  <si>
    <t>External plausibility was evaluated by comparing model outputs with reported outbreaks in the Americas and prior chikungunya modeling studies.</t>
  </si>
  <si>
    <t>The main outcomes of interest were the outbreak likelihood throughout the year, the potential size of a CHIKV outbreak, and the influence of vaccination on CHIKV cases given an outbreak.</t>
  </si>
  <si>
    <t>optimal emergence of local transmission potential from May to August. The average outbreak likelihood is 9% at a VHR of 1, ranging between 4% in December and 14% in July.</t>
  </si>
  <si>
    <t>The model was run in Excel , and the spreadsheet was not published with the paper.
Some model parameters, such as biting rate and transmission probabilities, can vary with temperature, but were held constant based on robust data for model simplicity.
Model does not explicitly include density-dependent constraints on mosquito population growth, such as carrying capacity.</t>
  </si>
  <si>
    <t>Time horizon was one year with a timestep of 0.2 days.
The temperature was held constant and no data was added to it</t>
  </si>
  <si>
    <r>
      <rPr>
        <rFont val="Arial"/>
        <color rgb="FF1155CC"/>
        <sz val="10.0"/>
        <u/>
      </rPr>
      <t>https://doi.org/10.1016/j.actatropica.2013.08.004</t>
    </r>
  </si>
  <si>
    <t>An agent-based model driven by tropical rainfall to understand the spatio-temporal heterogeneity of a chikungunya outbreak</t>
  </si>
  <si>
    <t>Carlos J. Dommar, Rachel Lowe, Marguerite Robinson, Xavier Rodó</t>
  </si>
  <si>
    <t>Formulate an agent-based model (ABM) to investigate the spatio-temporal heterogeneity of an infectious vector-borne disease outbreak.
Use this model to explore the impact of precipitation-dependent vector populations and the structure of the underlying network topology on the epidemiological dynamics.</t>
  </si>
  <si>
    <t xml:space="preserve"> Agent based</t>
  </si>
  <si>
    <t>Urban network’ where host agents ‘live’ in the network’s nodes, which can be thought of as villages, towns or cites. The host agents are allowed to travel to their neighbouring nodes, thus mimicking the travel of individuals within an area where a number of villages and cities are located. The nodes are connected by links, which represent transportation channels such as roads and highways.
All host agents are “born” as either “travellers”, or “non-travellers” which further sub-compartmentalises the population.
Host: SEIR (I-agents, can become symptomatic or asymptomatic depending on the presence or absence of disease symptoms)
Vector: SI</t>
  </si>
  <si>
    <t>Daily precipitation estimates (units: mm/day) from the NASA Global Precipitation Analysis gridded product GPCP V1DD: 1-degree daily combination precipitation estimates  daily data for the two years from 1 May 2004 to 30 April 2006</t>
  </si>
  <si>
    <t>Literature
Model fit</t>
  </si>
  <si>
    <t xml:space="preserve">Average number of new immature mosquitoes per person per mm of precipitation
</t>
  </si>
  <si>
    <t>Model Fitted</t>
  </si>
  <si>
    <t>Although precipitation can vary both temporally and spatially across the network, in this example precipitation is chosen to be constant in space.</t>
  </si>
  <si>
    <t>Seed the outbreak in differnet neighborhoods with different movement rules</t>
  </si>
  <si>
    <t>N/A
The reasoning was: the structure of the neighborhoods where different so the results could not be compared</t>
  </si>
  <si>
    <t>Percent infected</t>
  </si>
  <si>
    <t>Low levels of precipitation up to approximately day 200 results in low levels of disease transmission. A large outbreak is initiated around day 280 when the precipitation levels increase and this coincides with the infection reaching and spreading through the second largest hub on the network and its surrounding neighbours.
The spread of the epidemic is dominated by precipitation patterns rather than network topology.</t>
  </si>
  <si>
    <t>The model could not be validated against the La Reunion outbreak because the structure of the topology ("neighborhoods") were different.
The computational limitations of ABMs to describe outbreaks over large populous geographic regions can restrict their descriptive abilities.</t>
  </si>
  <si>
    <t>This paper only models precipitation.
Each model iteration represents a time unit of one day</t>
  </si>
  <si>
    <r>
      <rPr>
        <rFont val="Helvetica, Arial, sans-serif"/>
        <color rgb="FF1155CC"/>
        <sz val="10.0"/>
        <u/>
      </rPr>
      <t>https://doi.org/10.1371/journal.pone.0018860</t>
    </r>
  </si>
  <si>
    <t>Transmission Potential of Chikungunya Virus and Control Measures: The Case of Italy</t>
  </si>
  <si>
    <t>Piero Poletti, Gianni Messeri, Marco Ajelli, Roberto Vallorani, Caterina Rizzo, Stefano Merler</t>
  </si>
  <si>
    <t>Itally</t>
  </si>
  <si>
    <t>Investigate the transmission potential of CHIKV in Italy, to provide insight into the possible impact of future outbreaks in temperate climate regions, and the effectiveness of the interventions performed during the outbreak, to provide insight into the epidemic control.</t>
  </si>
  <si>
    <t>Model simulates the abundance of the vector in the four life stages of Aedes albopictus, namely eggs (E), larvae (L), pupae (P), female adults (A).
Hosts are classified as susceptible (Sh), latent (Eh), infectious symptomatic (Ish) or asymptomatic (Iah ), and recovered (Rh).</t>
  </si>
  <si>
    <t>Delatte H, Gimonneau G, Triboire A, Fontenille D (2009) Influence of temperature on immature development, survival, longevity, fecundity, and gonotrophic cycles of Aedes albopictus, vector of chikungunya and dengue in the Indian Ocean. J Med Entomol 46: 33–41.</t>
  </si>
  <si>
    <t>Fitted temperature-dependent equations on the expirements of: Delatte et al 2009
Latin Hypercube Sampling</t>
  </si>
  <si>
    <t>Model fitted-expiremental data
Literature</t>
  </si>
  <si>
    <t>Length of developmental stages (eggs, larval, pupae, adult)
Mortality rates (eggs, larval, pupae, adult)</t>
  </si>
  <si>
    <t>Exponential, Parabolic</t>
  </si>
  <si>
    <t>Reduction in breeding sites
Larvicide
Adulticides</t>
  </si>
  <si>
    <t>Breeding site removal
Larvicides
Adulticides</t>
  </si>
  <si>
    <t>R0, probability of major outbreak, attack rate</t>
  </si>
  <si>
    <t>Transmission potential of CHIKV in Italy was similar to the one observed in tropical regions where Chikungunya fever is widespread.
The proposed model, describing the temporal dynamics of Aedes albopictus, provides a valid alternative in the absence of reliable field data.</t>
  </si>
  <si>
    <t>Assume exponential distribution for all parameters of model M related to the length of the different periods (e.g. latency, infectiousness, etc.), though it would be preferable to use multiple classes within each group to give more realistic gamma distributed lifetimes. Assume density–dependent growth only in eggs, though other density–dependent regulating processes should be considered for other lifestages of the mosquitoes, e.g. larvae and pupae</t>
  </si>
  <si>
    <t>Time step was 0.1 day</t>
  </si>
  <si>
    <t>https://link.springer.com/article/10.1186/s12879-016-1348-y</t>
  </si>
  <si>
    <t>Assessing Chikungunya risk in a metropolitan area of Argentina through satellite images and mathematical models.</t>
  </si>
  <si>
    <t>Diego Ruiz-Moreno</t>
  </si>
  <si>
    <t>Municipio of Florencio Varela, Buenos Aires, Argentina</t>
  </si>
  <si>
    <t>Expands previous epidemiological models to include habitat availability as well as local temperature to assess the risk of
Chikungunya emergence in a temperate metropolitan area in Argentina.</t>
  </si>
  <si>
    <t>Metapopulation (spatial)- STOCHASTIC</t>
  </si>
  <si>
    <t>human population into susceptible (S), exposed (E), symptomatic infective (IS), asymptomatic infective (IA) and recovered individuals (R). This model also considers the mosquito population to be divided into several categories: eggs (G), diapaused eggs (D) and aquatic (that comprehends larval and pupae developmental stages) (L) are the immature stages and susceptible (AS), exposed (AE) and infective (AI) are the adult stages.
Epidemiological model was implemented for each neighborhood in the study area.</t>
  </si>
  <si>
    <t>Census data:Censo 2010 [http://www.indec.gov.ar/nivel4_default.asp?id_tema_1=2&amp;id_tema_2=41&amp;id_tema_3=135]
A local typical temperature year was created by averaging ten years (2004–2014) of hourly temperature data obtained from NOAA for this region
2014, through the ISPRS WG VI/5 research announcement FORMOSAT-2's satellite images were available for the study area. These images were used to evaluate mosquito habitat availability and its changes over the year.</t>
  </si>
  <si>
    <t>Rate eggs enter diapause
Rate eggs leave diapause
Immature mosquito mortailty rate
Rate larvea mature into adults
Mosquito infection rate
Adult Mosquito mortailty rate</t>
  </si>
  <si>
    <t>Modified from Ruiz-Moreno et al 2012</t>
  </si>
  <si>
    <t>Twelve scenarios for introduction were used to evaluate the variation of epidemic risk along a year. A hundred replications were run for each scenario. The difference between the scenarios was the month of the introduction of the exposed individual.</t>
  </si>
  <si>
    <t>Final size categorized as  less/greater than 50 cases 
Probability of outbreak</t>
  </si>
  <si>
    <t xml:space="preserve">When both symptomatic and asymptomatic are considered, the proportion of infectious individuals also displays seasonal variation, with higher values during the warmer months (later spring, summer and early fall). These seasonal patterns are not solely explained by temperature, but also due to the nonlinear response of the vectors to temperature variation. </t>
  </si>
  <si>
    <t>Better models for human movement could provide information that might lead to significant changes in the way that the disease spread in this area.
Model also does assume a naive reaction from the individuals and public officers, and hence might be overestimating the spread of the disease via mosquitoes and exposed individuals</t>
  </si>
  <si>
    <t>https://doi.org/10.1371/journal.pntd.0012713</t>
  </si>
  <si>
    <t>Strategic vaccination responses to Chikungunya outbreaks in Rome: Insights from a dynamic transmission model.</t>
  </si>
  <si>
    <t>Albertus Constantijn Sloof, Martijn Boer, Gerard T. Vondeling, Adrianne M. de Roo, Juan Carlos Jaramillo, Maarten J. Postma</t>
  </si>
  <si>
    <t>Rome, Italy</t>
  </si>
  <si>
    <t>Explores the potential impact of emergency vaccination during a large-scale CHIKV outbreak in Rome, Italy.</t>
  </si>
  <si>
    <t>Mosqutio population model: eggs(E), larvea (L), pupae (P), and adult (A).
Human: SEIR V- vaccinated
Mos: SEI</t>
  </si>
  <si>
    <t>Temperature Data: Centro Funzionale Regionale. Regione Lazio [http://www.idrografico.roma.it/annali/
Model Validation: Caputo B, Russo G, Manica M, Vairo F, Poletti P, Guzzetta G, et al. A comparative analysis of the 2007 and 2017 Italian chikungunya outbreaks and implication for public health response. PLoS Neglected Tropical Diseases. 2020; 14(6):e0008159. https://doi.org/10.1371/journal.pntd.0008159 PMID: 32525957</t>
  </si>
  <si>
    <t>data from the most recent Italian chikungunya outbreak in Anzio were used to calibrate the model
Polynomial functions were fitted to the daily average temperatures to perform smoothing of the temperatures over time, and a third-order polynomial was considered to provide the best fit.</t>
  </si>
  <si>
    <t>Length of developmental stages (eggs, larval, pupea, adult)
Mortailty rates (eggs, larval, pupea, adult)</t>
  </si>
  <si>
    <t xml:space="preserve">Poletti P, Messeri G, Ajelli M, Vallorani R, Rizzo C, Merler S. Transmission potential of chikungunya virus and control measures: the case of Italy. PLoS One. 2011 May 3; 6(5):e18860. doi: 10.1371/ journal.pone.0018860 PMID: 21559329
</t>
  </si>
  <si>
    <t>Vaccination with IXCHIQ as an emergency response after 10 individuals were identified as infected</t>
  </si>
  <si>
    <t>Temperature for the water is used for the egg, larvae, and pupae  temperature dependent equations. Tw = beta0 + beta1*Tair</t>
  </si>
  <si>
    <t>Sensitivity analyses each parameter was reduced and increased by 10%</t>
  </si>
  <si>
    <t>Maximum vaccination coverage rates of 10%, 20%, 30%, and 40%
Changing the method of temperature smoothing using the other polynomial functions investigated and including scenarios related to global warming. The impact of global warming could influence more than just the temperature, however in these scenarios the temperature for the entire years was shifted up by 0.25 degrees and 0.5 degrees Celsius.</t>
  </si>
  <si>
    <t>To assess the impact of the uncertainty on the outcomes of the model, one-way sensitivity analyses were performed on the separate parameters and grouped parameters. Some parameters were grouped based on their impact on the development of CHIKV in humans and mosquitoes, the inclusion and effectiveness of countermeasures, vaccine efficacy, mosquito births and mortality, and the biting rate.</t>
  </si>
  <si>
    <t xml:space="preserve">Compared maximum vector-host ratios for the Anzio, Rome scenario, and 3 "simlair" European outbreaks. </t>
  </si>
  <si>
    <t>Annual temperature increases of 0.25 and 0.5 degrees Celsius, projected substantial increases in the infection rates to 10.16% and 17.05% without vaccination, respectively.</t>
  </si>
  <si>
    <t>Modelling assumes homogenous mixing between the mosquito and the human population is not fully realistic as mosquitoes cannot travel across the entire metropolitan area of Rome.
The assessment of population density’s influence on the proportion of mosquito bites targeting humans relied on a limited dataset.
Significant variability in the data concerning mosquito populations and Chikungunya virus (CHIKV) transmission rates contributed to considerable uncertainty in our modelling outcomes.</t>
  </si>
  <si>
    <r>
      <rPr>
        <rFont val="Arial"/>
        <color rgb="FF1155CC"/>
        <sz val="10.0"/>
        <u/>
      </rPr>
      <t>https://doi.org/10.3390/v13061024</t>
    </r>
  </si>
  <si>
    <t>Chikungunya beyond the tropics: where and when do we expect disease transmission in Europe?</t>
  </si>
  <si>
    <t>Nils Benjamin Tjaden, Yanchao Cheng, Carl Beierkuhnlein, and Stephanie Margarete Thomas</t>
  </si>
  <si>
    <t>Europe</t>
  </si>
  <si>
    <t>Employ an epidemiological model that was recently proposed for Canada to a series of European cities to evaluate the correlative model and add the temporal dimension for CHIKV risk assessment in non-tropical climates.
Compare the results of the Ecological Niche Model to the Epidemiological model</t>
  </si>
  <si>
    <t>Metapopulation - STOCHASTIC</t>
  </si>
  <si>
    <t>Used the model from Ng et al 2017</t>
  </si>
  <si>
    <t>Daily mean temperature from European Climate Assessment dataset</t>
  </si>
  <si>
    <t>Adult mosquito life span (L)
Fraction of mosquitoes surviving the extrinsic incubation period
Mosquito density per
human</t>
  </si>
  <si>
    <t>Exponential</t>
  </si>
  <si>
    <t>Ran the model with temperature sata from 2017, 2018, and average of 1970-2000</t>
  </si>
  <si>
    <t>R0</t>
  </si>
  <si>
    <t>Three southern European cities, i.e., Barcelona (Spain), Montpellier (France), and Ravenna (Italy), it appears that all have a risk of chikungunya transmission that persists up to 10 to 12 weeks during summer.</t>
  </si>
  <si>
    <t>Combines Ecological Niche Model with epidemiological model</t>
  </si>
  <si>
    <t>https://doi.org/10.1289/EHP669.</t>
  </si>
  <si>
    <t>Assessment of the Probability of Autochthonous Transmission of Chikungunya Virus in Canada under Recent and Projected Climate Change</t>
  </si>
  <si>
    <t>Victoria Ng, Aamir Fazil, Philippe Gachon, Guillaume Deuymes, Milka Radojević, Mariola Mascarenhas,
Sophiya Garasia, Michael A. Johansson, and Nicholas H. Ogden</t>
  </si>
  <si>
    <t>Canada</t>
  </si>
  <si>
    <t>Explore autochthonous, but not sustained transmission of CHICKV in Canda</t>
  </si>
  <si>
    <t>Adapted from Johansson et al 2014 a yellow fever model</t>
  </si>
  <si>
    <t>Mean monthly temperature with roughly 10km resolutaion</t>
  </si>
  <si>
    <t>Sampling distribution from literature observations</t>
  </si>
  <si>
    <t>Extrinsic incubation period
Average adult lifespan in days (L)</t>
  </si>
  <si>
    <t>Brady O. 2013. Model of Adult Aedes albopictus Survival/Mortality at Different Temperatures. https://doi.org/https://figshare.com/articles/Model_of_adult_Aedes_albopictus_survival_mortality_at_different_temperatures/865035.
Brady OJ, Johansson M A, Guerra C A, Bhatt S, Golding N, Pigott D M,et al. 2013. Modelling adult Aedes aegypti and Aedes albopictus survival at different temperatures in laboratory and field settings. ParasitVectors6:351, https://doi.org/ 10.1186/1756-3305-6-351.
Chan M, Johansson MA. 2012. The incubation periods of Dengue viruses.PLoS One 7(11):e50972,PMID: 23226436, https://doi.org/10.1371/journal.pone.0050972.</t>
  </si>
  <si>
    <t>Assumed that climatic suitability for CHIKV transmission potential in combination with climatic suitability for the presence of Ae. albopictus results in a higher risk for autochthonous CHIKV transmission.</t>
  </si>
  <si>
    <t>Mapping the risk of autochthonous CHIKV transmission using parmater values for the 75th percentile value of R0</t>
  </si>
  <si>
    <t>Simulated climate projections for 2011-2040 and 2041-2070 to look at potential transmision under short-term and long-term climate change.</t>
  </si>
  <si>
    <t>Optimal suitability occurred (R0 &gt; 1) when the warmest month of the year is between 22.8-33.6 °C
Ontario had mean summer temperatures greater than 22.8 °C for one month, making it suitable but limited</t>
  </si>
  <si>
    <t>The main assumption is that climate conditions can accurately identify suitable habitats for vectors.
Canadians tend to travel to CHICKV-infected areas in the winter rather than the summer, so the risk produced by the model is overestimated</t>
  </si>
  <si>
    <t>Identified through the snowball method from Tjaden et al 
This model is a probabilistic model. The temperature dependence equation is EIP, this value is then used in the proportion of mosquitos surviving</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</si>
</sst>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0.0"/>
      <color theme="1"/>
      <name val="Arial"/>
    </font>
    <font>
      <sz val="10.0"/>
      <color rgb="FF000000"/>
      <name val="Arial"/>
    </font>
    <font>
      <color theme="1"/>
      <name val="Arial"/>
      <scheme val="minor"/>
    </font>
    <font>
      <b/>
      <sz val="10.0"/>
      <color theme="1"/>
      <name val="Arial"/>
    </font>
    <font>
      <u/>
      <sz val="10.0"/>
      <color rgb="FF434343"/>
      <name val="Roboto"/>
    </font>
    <font>
      <i/>
      <sz val="10.0"/>
      <color theme="1"/>
      <name val="Arial"/>
    </font>
    <font>
      <u/>
      <sz val="10.0"/>
      <color rgb="FF0000FF"/>
      <name val="Roboto"/>
    </font>
    <font>
      <sz val="8.0"/>
      <color theme="1"/>
      <name val="Arial"/>
    </font>
    <font>
      <u/>
      <sz val="10.0"/>
      <color rgb="FF434343"/>
      <name val="Roboto"/>
    </font>
    <font>
      <sz val="10.0"/>
      <color rgb="FF434343"/>
      <name val="Roboto"/>
    </font>
    <font>
      <i/>
      <sz val="10.0"/>
      <color rgb="FF434343"/>
      <name val="Roboto"/>
    </font>
    <font>
      <sz val="8.0"/>
      <color rgb="FF434343"/>
      <name val="Roboto"/>
    </font>
    <font>
      <u/>
      <sz val="10.0"/>
      <color rgb="FF0000FF"/>
      <name val="Roboto"/>
    </font>
    <font>
      <u/>
      <sz val="10.0"/>
      <color rgb="FF606060"/>
      <name val="Helvetica Neue"/>
    </font>
    <font>
      <u/>
      <sz val="10.0"/>
      <color rgb="FF606060"/>
      <name val="Helvetica Neue"/>
    </font>
  </fonts>
  <fills count="4">
    <fill>
      <patternFill patternType="none"/>
    </fill>
    <fill>
      <patternFill patternType="lightGray"/>
    </fill>
    <fill>
      <patternFill patternType="solid">
        <fgColor rgb="FFFEF1CC"/>
        <bgColor rgb="FFFEF1CC"/>
      </patternFill>
    </fill>
    <fill>
      <patternFill patternType="solid">
        <fgColor rgb="FFFFFFFF"/>
        <bgColor rgb="FFFFFFFF"/>
      </patternFill>
    </fill>
  </fills>
  <borders count="5">
    <border/>
    <border>
      <left/>
      <right/>
      <top/>
      <bottom/>
    </border>
    <border>
      <left style="thin">
        <color rgb="FFFFFFFF"/>
      </left>
      <right style="thin">
        <color rgb="FFFFFFFF"/>
      </right>
      <top style="thin">
        <color rgb="FFFFFFFF"/>
      </top>
      <bottom style="thin">
        <color rgb="FFFFFFFF"/>
      </bottom>
    </border>
    <border>
      <left style="thin">
        <color rgb="FF8C352D"/>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shrinkToFit="0" wrapText="1"/>
    </xf>
    <xf borderId="0" fillId="0" fontId="1" numFmtId="0" xfId="0" applyAlignment="1" applyFont="1">
      <alignment horizontal="left" vertical="center"/>
    </xf>
    <xf borderId="0" fillId="0" fontId="1" numFmtId="0" xfId="0" applyAlignment="1" applyFont="1">
      <alignment shrinkToFit="0" vertical="center" wrapText="1"/>
    </xf>
    <xf borderId="0" fillId="0" fontId="1" numFmtId="0" xfId="0" applyAlignment="1" applyFont="1">
      <alignment shrinkToFit="0" wrapText="1"/>
    </xf>
    <xf borderId="0" fillId="0" fontId="1" numFmtId="0" xfId="0" applyAlignment="1" applyFont="1">
      <alignment vertical="center"/>
    </xf>
    <xf borderId="1" fillId="2" fontId="1" numFmtId="0" xfId="0" applyAlignment="1" applyBorder="1" applyFill="1" applyFont="1">
      <alignment shrinkToFit="0" vertical="center" wrapText="1"/>
    </xf>
    <xf borderId="1" fillId="2" fontId="1" numFmtId="0" xfId="0" applyAlignment="1" applyBorder="1" applyFont="1">
      <alignment shrinkToFit="0" wrapText="1"/>
    </xf>
    <xf borderId="1" fillId="2" fontId="1" numFmtId="0" xfId="0" applyAlignment="1" applyBorder="1" applyFont="1">
      <alignment vertical="center"/>
    </xf>
    <xf borderId="1" fillId="2" fontId="2" numFmtId="0" xfId="0" applyBorder="1" applyFont="1"/>
    <xf borderId="0" fillId="0" fontId="3" numFmtId="0" xfId="0" applyFont="1"/>
    <xf borderId="0" fillId="0" fontId="1" numFmtId="0" xfId="0" applyAlignment="1" applyFont="1">
      <alignment shrinkToFit="0" wrapText="1"/>
    </xf>
    <xf borderId="0" fillId="0" fontId="4" numFmtId="0" xfId="0" applyAlignment="1" applyFont="1">
      <alignment horizontal="left" vertical="center"/>
    </xf>
    <xf borderId="0" fillId="0" fontId="4" numFmtId="0" xfId="0" applyAlignment="1" applyFont="1">
      <alignment horizontal="left" shrinkToFit="0" vertical="center" wrapText="1"/>
    </xf>
    <xf borderId="0" fillId="0" fontId="4" numFmtId="49" xfId="0" applyAlignment="1" applyFont="1" applyNumberFormat="1">
      <alignment horizontal="left" shrinkToFit="0" vertical="center" wrapText="1"/>
    </xf>
    <xf borderId="0" fillId="0" fontId="5" numFmtId="0" xfId="0" applyAlignment="1" applyFont="1">
      <alignment vertical="center"/>
    </xf>
    <xf borderId="0" fillId="0" fontId="6" numFmtId="0" xfId="0" applyAlignment="1" applyFont="1">
      <alignment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2" fillId="3" fontId="9" numFmtId="0" xfId="0" applyAlignment="1" applyBorder="1" applyFill="1" applyFont="1">
      <alignment horizontal="left" vertical="center"/>
    </xf>
    <xf borderId="3" fillId="3" fontId="10" numFmtId="0" xfId="0" applyAlignment="1" applyBorder="1" applyFont="1">
      <alignment horizontal="left" shrinkToFit="0" vertical="center" wrapText="1"/>
    </xf>
    <xf borderId="4" fillId="0" fontId="10" numFmtId="0" xfId="0" applyAlignment="1" applyBorder="1" applyFont="1">
      <alignment horizontal="left" vertical="center"/>
    </xf>
    <xf borderId="1" fillId="3" fontId="10" numFmtId="0" xfId="0" applyAlignment="1" applyBorder="1" applyFont="1">
      <alignment horizontal="left" shrinkToFit="0" vertical="center" wrapText="1"/>
    </xf>
    <xf borderId="1" fillId="3" fontId="11" numFmtId="0" xfId="0" applyAlignment="1" applyBorder="1" applyFont="1">
      <alignment shrinkToFit="0" vertical="center" wrapText="1"/>
    </xf>
    <xf borderId="1" fillId="3" fontId="10" numFmtId="0" xfId="0" applyAlignment="1" applyBorder="1" applyFont="1">
      <alignment shrinkToFit="0" vertical="center" wrapText="1"/>
    </xf>
    <xf borderId="1" fillId="3" fontId="12" numFmtId="0" xfId="0" applyAlignment="1" applyBorder="1" applyFont="1">
      <alignment horizontal="left" shrinkToFit="0" vertical="center" wrapText="1"/>
    </xf>
    <xf borderId="0" fillId="0" fontId="1" numFmtId="0" xfId="0" applyAlignment="1" applyFont="1">
      <alignment horizontal="left"/>
    </xf>
    <xf borderId="0" fillId="0" fontId="13" numFmtId="0" xfId="0" applyAlignment="1" applyFont="1">
      <alignment vertical="center"/>
    </xf>
    <xf borderId="1" fillId="3" fontId="14" numFmtId="0" xfId="0" applyAlignment="1" applyBorder="1" applyFont="1">
      <alignment vertical="center"/>
    </xf>
    <xf quotePrefix="1" borderId="0" fillId="0" fontId="1" numFmtId="0" xfId="0" applyAlignment="1" applyFont="1">
      <alignment shrinkToFit="0" vertical="center" wrapText="1"/>
    </xf>
    <xf borderId="0" fillId="0" fontId="15" numFmtId="0" xfId="0" applyAlignment="1" applyFont="1">
      <alignment vertical="center"/>
    </xf>
    <xf borderId="0" fillId="0" fontId="8"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2">
    <tableStyle count="3" pivot="0" name="Temperature Dependent Functions-style">
      <tableStyleElement dxfId="1" type="headerRow"/>
      <tableStyleElement dxfId="2" type="firstRowStripe"/>
      <tableStyleElement dxfId="3" type="secondRowStripe"/>
    </tableStyle>
    <tableStyle count="3" pivot="0" name="Chikungunya-style">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2847975</xdr:colOff>
      <xdr:row>7</xdr:row>
      <xdr:rowOff>390525</xdr:rowOff>
    </xdr:from>
    <xdr:ext cx="38100" cy="161925"/>
    <xdr:sp>
      <xdr:nvSpPr>
        <xdr:cNvPr id="3" name="Shape 3"/>
        <xdr:cNvSpPr txBox="1"/>
      </xdr:nvSpPr>
      <xdr:spPr>
        <a:xfrm>
          <a:off x="5345968" y="3698888"/>
          <a:ext cx="65" cy="16222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0</xdr:row>
      <xdr:rowOff>-1771650</xdr:rowOff>
    </xdr:from>
    <xdr:ext cx="38100" cy="0"/>
    <xdr:sp>
      <xdr:nvSpPr>
        <xdr:cNvPr id="4" name="Shape 4"/>
        <xdr:cNvSpPr txBox="1"/>
      </xdr:nvSpPr>
      <xdr:spPr>
        <a:xfrm>
          <a:off x="5346000" y="3780000"/>
          <a:ext cx="0" cy="0"/>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rPr b="0" i="1" lang="en-US" sz="1100">
              <a:solidFill>
                <a:schemeClr val="dk1"/>
              </a:solidFill>
              <a:latin typeface="Cambria Math"/>
              <a:ea typeface="Cambria Math"/>
              <a:cs typeface="Cambria Math"/>
              <a:sym typeface="Cambria Math"/>
            </a:rPr>
            <a:t>0</a:t>
          </a:r>
          <a:endParaRPr sz="1400"/>
        </a:p>
      </xdr:txBody>
    </xdr:sp>
    <xdr:clientData fLocksWithSheet="0"/>
  </xdr:oneCellAnchor>
  <xdr:oneCellAnchor>
    <xdr:from>
      <xdr:col>1</xdr:col>
      <xdr:colOff>3038475</xdr:colOff>
      <xdr:row>1</xdr:row>
      <xdr:rowOff>276225</xdr:rowOff>
    </xdr:from>
    <xdr:ext cx="7372350" cy="1638300"/>
    <xdr:grpSp>
      <xdr:nvGrpSpPr>
        <xdr:cNvPr id="2" name="Shape 2"/>
        <xdr:cNvGrpSpPr/>
      </xdr:nvGrpSpPr>
      <xdr:grpSpPr>
        <a:xfrm>
          <a:off x="1659825" y="2960850"/>
          <a:ext cx="7372350" cy="1638300"/>
          <a:chOff x="1659825" y="2960850"/>
          <a:chExt cx="7372350" cy="1638300"/>
        </a:xfrm>
      </xdr:grpSpPr>
      <xdr:grpSp>
        <xdr:nvGrpSpPr>
          <xdr:cNvPr id="5" name="Shape 5"/>
          <xdr:cNvGrpSpPr/>
        </xdr:nvGrpSpPr>
        <xdr:grpSpPr>
          <a:xfrm>
            <a:off x="1659825" y="2960850"/>
            <a:ext cx="7372350" cy="1638300"/>
            <a:chOff x="5715000" y="439881"/>
            <a:chExt cx="6252607" cy="1647803"/>
          </a:xfrm>
        </xdr:grpSpPr>
        <xdr:sp>
          <xdr:nvSpPr>
            <xdr:cNvPr id="6" name="Shape 6"/>
            <xdr:cNvSpPr/>
          </xdr:nvSpPr>
          <xdr:spPr>
            <a:xfrm>
              <a:off x="5715000" y="439881"/>
              <a:ext cx="6252600" cy="1647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txBox="1"/>
          </xdr:nvSpPr>
          <xdr:spPr>
            <a:xfrm>
              <a:off x="9720262" y="439881"/>
              <a:ext cx="338138" cy="165366"/>
            </a:xfrm>
            <a:prstGeom prst="rect">
              <a:avLst/>
            </a:prstGeom>
            <a:noFill/>
            <a:ln>
              <a:noFill/>
            </a:ln>
          </xdr:spPr>
          <xdr:txBody>
            <a:bodyPr anchorCtr="0" anchor="t" bIns="0" lIns="0" spcFirstLastPara="1" rIns="0" wrap="square" tIns="0">
              <a:spAutoFit/>
            </a:bodyPr>
            <a:lstStyle/>
            <a:p>
              <a:pPr indent="0" lvl="0" marL="0" rtl="0" algn="r">
                <a:spcBef>
                  <a:spcPts val="0"/>
                </a:spcBef>
                <a:spcAft>
                  <a:spcPts val="0"/>
                </a:spcAft>
                <a:buNone/>
              </a:pPr>
              <a:r>
                <a:t/>
              </a:r>
              <a:endParaRPr sz="1100"/>
            </a:p>
          </xdr:txBody>
        </xdr:sp>
        <xdr:sp>
          <xdr:nvSpPr>
            <xdr:cNvPr id="8" name="Shape 8"/>
            <xdr:cNvSpPr txBox="1"/>
          </xdr:nvSpPr>
          <xdr:spPr>
            <a:xfrm>
              <a:off x="9720262" y="808759"/>
              <a:ext cx="2141932" cy="168829"/>
            </a:xfrm>
            <a:prstGeom prst="rect">
              <a:avLst/>
            </a:prstGeom>
            <a:noFill/>
            <a:ln>
              <a:noFill/>
            </a:ln>
          </xdr:spPr>
          <xdr:txBody>
            <a:bodyPr anchorCtr="0" anchor="t" bIns="0" lIns="0" spcFirstLastPara="1" rIns="0" wrap="square" tIns="0">
              <a:spAutoFit/>
            </a:bodyPr>
            <a:lstStyle/>
            <a:p>
              <a:pPr indent="0" lvl="0" marL="0" rtl="0" algn="r">
                <a:spcBef>
                  <a:spcPts val="0"/>
                </a:spcBef>
                <a:spcAft>
                  <a:spcPts val="0"/>
                </a:spcAft>
                <a:buNone/>
              </a:pPr>
              <a:r>
                <a:t/>
              </a:r>
              <a:endParaRPr sz="1100"/>
            </a:p>
          </xdr:txBody>
        </xdr:sp>
        <xdr:sp>
          <xdr:nvSpPr>
            <xdr:cNvPr id="9" name="Shape 9"/>
            <xdr:cNvSpPr txBox="1"/>
          </xdr:nvSpPr>
          <xdr:spPr>
            <a:xfrm>
              <a:off x="9720262" y="1181099"/>
              <a:ext cx="1450397" cy="165366"/>
            </a:xfrm>
            <a:prstGeom prst="rect">
              <a:avLst/>
            </a:prstGeom>
            <a:noFill/>
            <a:ln>
              <a:noFill/>
            </a:ln>
          </xdr:spPr>
          <xdr:txBody>
            <a:bodyPr anchorCtr="0" anchor="t" bIns="0" lIns="0" spcFirstLastPara="1" rIns="0" wrap="square" tIns="0">
              <a:spAutoFit/>
            </a:bodyPr>
            <a:lstStyle/>
            <a:p>
              <a:pPr indent="0" lvl="0" marL="0" rtl="0" algn="r">
                <a:spcBef>
                  <a:spcPts val="0"/>
                </a:spcBef>
                <a:spcAft>
                  <a:spcPts val="0"/>
                </a:spcAft>
                <a:buNone/>
              </a:pPr>
              <a:r>
                <a:t/>
              </a:r>
              <a:endParaRPr sz="1100"/>
            </a:p>
          </xdr:txBody>
        </xdr:sp>
        <xdr:sp>
          <xdr:nvSpPr>
            <xdr:cNvPr id="10" name="Shape 10"/>
            <xdr:cNvSpPr txBox="1"/>
          </xdr:nvSpPr>
          <xdr:spPr>
            <a:xfrm>
              <a:off x="5715000" y="439881"/>
              <a:ext cx="656590"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sp>
          <xdr:nvSpPr>
            <xdr:cNvPr id="11" name="Shape 11"/>
            <xdr:cNvSpPr txBox="1"/>
          </xdr:nvSpPr>
          <xdr:spPr>
            <a:xfrm>
              <a:off x="5715000" y="810490"/>
              <a:ext cx="1027845"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sp>
          <xdr:nvSpPr>
            <xdr:cNvPr id="12" name="Shape 12"/>
            <xdr:cNvSpPr txBox="1"/>
          </xdr:nvSpPr>
          <xdr:spPr>
            <a:xfrm>
              <a:off x="5715000" y="1181099"/>
              <a:ext cx="1105944"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sp>
          <xdr:nvSpPr>
            <xdr:cNvPr id="13" name="Shape 13"/>
            <xdr:cNvSpPr txBox="1"/>
          </xdr:nvSpPr>
          <xdr:spPr>
            <a:xfrm>
              <a:off x="5715000" y="1551708"/>
              <a:ext cx="1291059"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sp>
          <xdr:nvSpPr>
            <xdr:cNvPr id="14" name="Shape 14"/>
            <xdr:cNvSpPr txBox="1"/>
          </xdr:nvSpPr>
          <xdr:spPr>
            <a:xfrm>
              <a:off x="5715000" y="1922318"/>
              <a:ext cx="919803"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sp>
          <xdr:nvSpPr>
            <xdr:cNvPr id="15" name="Shape 15"/>
            <xdr:cNvSpPr txBox="1"/>
          </xdr:nvSpPr>
          <xdr:spPr>
            <a:xfrm>
              <a:off x="9720262" y="1532658"/>
              <a:ext cx="2247345" cy="168829"/>
            </a:xfrm>
            <a:prstGeom prst="rect">
              <a:avLst/>
            </a:prstGeom>
            <a:noFill/>
            <a:ln>
              <a:noFill/>
            </a:ln>
          </xdr:spPr>
          <xdr:txBody>
            <a:bodyPr anchorCtr="0" anchor="t" bIns="0" lIns="0" spcFirstLastPara="1" rIns="0" wrap="square" tIns="0">
              <a:spAutoFit/>
            </a:bodyPr>
            <a:lstStyle/>
            <a:p>
              <a:pPr indent="0" lvl="0" marL="0" rtl="0" algn="r">
                <a:spcBef>
                  <a:spcPts val="0"/>
                </a:spcBef>
                <a:spcAft>
                  <a:spcPts val="0"/>
                </a:spcAft>
                <a:buNone/>
              </a:pPr>
              <a:r>
                <a:t/>
              </a:r>
              <a:endParaRPr sz="1100"/>
            </a:p>
          </xdr:txBody>
        </xdr:sp>
        <xdr:sp>
          <xdr:nvSpPr>
            <xdr:cNvPr id="16" name="Shape 16"/>
            <xdr:cNvSpPr txBox="1"/>
          </xdr:nvSpPr>
          <xdr:spPr>
            <a:xfrm>
              <a:off x="9720262" y="1922318"/>
              <a:ext cx="338138" cy="165366"/>
            </a:xfrm>
            <a:prstGeom prst="rect">
              <a:avLst/>
            </a:prstGeom>
            <a:noFill/>
            <a:ln>
              <a:noFill/>
            </a:ln>
          </xdr:spPr>
          <xdr:txBody>
            <a:bodyPr anchorCtr="0" anchor="t" bIns="0" lIns="0" spcFirstLastPara="1" rIns="0" wrap="square" tIns="0">
              <a:spAutoFit/>
            </a:bodyPr>
            <a:lstStyle/>
            <a:p>
              <a:pPr indent="0" lvl="0" marL="0" rtl="0" algn="r">
                <a:spcBef>
                  <a:spcPts val="0"/>
                </a:spcBef>
                <a:spcAft>
                  <a:spcPts val="0"/>
                </a:spcAft>
                <a:buNone/>
              </a:pPr>
              <a:r>
                <a:t/>
              </a:r>
              <a:endParaRPr sz="1100"/>
            </a:p>
          </xdr:txBody>
        </xdr:sp>
      </xdr:grpSp>
    </xdr:grpSp>
    <xdr:clientData fLocksWithSheet="0"/>
  </xdr:oneCellAnchor>
  <xdr:oneCellAnchor>
    <xdr:from>
      <xdr:col>1</xdr:col>
      <xdr:colOff>3057525</xdr:colOff>
      <xdr:row>2</xdr:row>
      <xdr:rowOff>247650</xdr:rowOff>
    </xdr:from>
    <xdr:ext cx="6191250" cy="1133475"/>
    <xdr:grpSp>
      <xdr:nvGrpSpPr>
        <xdr:cNvPr id="2" name="Shape 2"/>
        <xdr:cNvGrpSpPr/>
      </xdr:nvGrpSpPr>
      <xdr:grpSpPr>
        <a:xfrm>
          <a:off x="2250375" y="3213263"/>
          <a:ext cx="6191250" cy="1133475"/>
          <a:chOff x="2250375" y="3213263"/>
          <a:chExt cx="6191250" cy="1133475"/>
        </a:xfrm>
      </xdr:grpSpPr>
      <xdr:grpSp>
        <xdr:nvGrpSpPr>
          <xdr:cNvPr id="17" name="Shape 17"/>
          <xdr:cNvGrpSpPr/>
        </xdr:nvGrpSpPr>
        <xdr:grpSpPr>
          <a:xfrm>
            <a:off x="2250375" y="3213263"/>
            <a:ext cx="6191250" cy="1133475"/>
            <a:chOff x="5734050" y="2835828"/>
            <a:chExt cx="5070869" cy="939512"/>
          </a:xfrm>
        </xdr:grpSpPr>
        <xdr:sp>
          <xdr:nvSpPr>
            <xdr:cNvPr id="6" name="Shape 6"/>
            <xdr:cNvSpPr/>
          </xdr:nvSpPr>
          <xdr:spPr>
            <a:xfrm>
              <a:off x="5734050" y="2835828"/>
              <a:ext cx="5070850" cy="939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8" name="Shape 18"/>
            <xdr:cNvSpPr txBox="1"/>
          </xdr:nvSpPr>
          <xdr:spPr>
            <a:xfrm>
              <a:off x="9735831" y="2835828"/>
              <a:ext cx="338138" cy="19829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19" name="Shape 19"/>
            <xdr:cNvSpPr txBox="1"/>
          </xdr:nvSpPr>
          <xdr:spPr>
            <a:xfrm>
              <a:off x="9773931" y="3220315"/>
              <a:ext cx="1030988" cy="165366"/>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20" name="Shape 20"/>
            <xdr:cNvSpPr txBox="1"/>
          </xdr:nvSpPr>
          <xdr:spPr>
            <a:xfrm>
              <a:off x="9859656" y="3600449"/>
              <a:ext cx="117275" cy="165366"/>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21" name="Shape 21"/>
            <xdr:cNvSpPr txBox="1"/>
          </xdr:nvSpPr>
          <xdr:spPr>
            <a:xfrm>
              <a:off x="5762625" y="2868756"/>
              <a:ext cx="656590"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22" name="Shape 22"/>
            <xdr:cNvSpPr txBox="1"/>
          </xdr:nvSpPr>
          <xdr:spPr>
            <a:xfrm>
              <a:off x="5762625" y="3239365"/>
              <a:ext cx="1027845"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23" name="Shape 23"/>
            <xdr:cNvSpPr txBox="1"/>
          </xdr:nvSpPr>
          <xdr:spPr>
            <a:xfrm>
              <a:off x="5734050" y="3609974"/>
              <a:ext cx="703654"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2</xdr:col>
      <xdr:colOff>0</xdr:colOff>
      <xdr:row>3</xdr:row>
      <xdr:rowOff>409575</xdr:rowOff>
    </xdr:from>
    <xdr:ext cx="3209925" cy="171450"/>
    <xdr:sp>
      <xdr:nvSpPr>
        <xdr:cNvPr id="24" name="Shape 24"/>
        <xdr:cNvSpPr txBox="1"/>
      </xdr:nvSpPr>
      <xdr:spPr>
        <a:xfrm>
          <a:off x="3744247" y="3697317"/>
          <a:ext cx="3203506"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19050</xdr:colOff>
      <xdr:row>4</xdr:row>
      <xdr:rowOff>314325</xdr:rowOff>
    </xdr:from>
    <xdr:ext cx="5781675" cy="1133475"/>
    <xdr:grpSp>
      <xdr:nvGrpSpPr>
        <xdr:cNvPr id="2" name="Shape 2"/>
        <xdr:cNvGrpSpPr/>
      </xdr:nvGrpSpPr>
      <xdr:grpSpPr>
        <a:xfrm>
          <a:off x="2455163" y="3213263"/>
          <a:ext cx="5781675" cy="1133475"/>
          <a:chOff x="2455163" y="3213263"/>
          <a:chExt cx="5781675" cy="1133475"/>
        </a:xfrm>
      </xdr:grpSpPr>
      <xdr:grpSp>
        <xdr:nvGrpSpPr>
          <xdr:cNvPr id="25" name="Shape 25"/>
          <xdr:cNvGrpSpPr/>
        </xdr:nvGrpSpPr>
        <xdr:grpSpPr>
          <a:xfrm>
            <a:off x="2455163" y="3213263"/>
            <a:ext cx="5781675" cy="1133475"/>
            <a:chOff x="5743575" y="2835828"/>
            <a:chExt cx="5108969" cy="939512"/>
          </a:xfrm>
        </xdr:grpSpPr>
        <xdr:sp>
          <xdr:nvSpPr>
            <xdr:cNvPr id="6" name="Shape 6"/>
            <xdr:cNvSpPr/>
          </xdr:nvSpPr>
          <xdr:spPr>
            <a:xfrm>
              <a:off x="5743575" y="2835828"/>
              <a:ext cx="5108950" cy="939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6" name="Shape 26"/>
            <xdr:cNvSpPr txBox="1"/>
          </xdr:nvSpPr>
          <xdr:spPr>
            <a:xfrm>
              <a:off x="9735831" y="2835828"/>
              <a:ext cx="338138" cy="19829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27" name="Shape 27"/>
            <xdr:cNvSpPr txBox="1"/>
          </xdr:nvSpPr>
          <xdr:spPr>
            <a:xfrm>
              <a:off x="9821556" y="3220315"/>
              <a:ext cx="1030988" cy="165366"/>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28" name="Shape 28"/>
            <xdr:cNvSpPr txBox="1"/>
          </xdr:nvSpPr>
          <xdr:spPr>
            <a:xfrm>
              <a:off x="9859656" y="3600449"/>
              <a:ext cx="117275" cy="165366"/>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29" name="Shape 29"/>
            <xdr:cNvSpPr txBox="1"/>
          </xdr:nvSpPr>
          <xdr:spPr>
            <a:xfrm>
              <a:off x="5762625" y="2868756"/>
              <a:ext cx="656590"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30" name="Shape 30"/>
            <xdr:cNvSpPr txBox="1"/>
          </xdr:nvSpPr>
          <xdr:spPr>
            <a:xfrm>
              <a:off x="5762625" y="3239365"/>
              <a:ext cx="1027845"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31" name="Shape 31"/>
            <xdr:cNvSpPr txBox="1"/>
          </xdr:nvSpPr>
          <xdr:spPr>
            <a:xfrm>
              <a:off x="5743575" y="3609974"/>
              <a:ext cx="703654" cy="16536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xdr:col>
      <xdr:colOff>2962275</xdr:colOff>
      <xdr:row>5</xdr:row>
      <xdr:rowOff>314325</xdr:rowOff>
    </xdr:from>
    <xdr:ext cx="7867650" cy="1162050"/>
    <xdr:grpSp>
      <xdr:nvGrpSpPr>
        <xdr:cNvPr id="2" name="Shape 2"/>
        <xdr:cNvGrpSpPr/>
      </xdr:nvGrpSpPr>
      <xdr:grpSpPr>
        <a:xfrm>
          <a:off x="1412175" y="3198975"/>
          <a:ext cx="7867650" cy="1162050"/>
          <a:chOff x="1412175" y="3198975"/>
          <a:chExt cx="7867650" cy="1162050"/>
        </a:xfrm>
      </xdr:grpSpPr>
      <xdr:grpSp>
        <xdr:nvGrpSpPr>
          <xdr:cNvPr id="32" name="Shape 32"/>
          <xdr:cNvGrpSpPr/>
        </xdr:nvGrpSpPr>
        <xdr:grpSpPr>
          <a:xfrm>
            <a:off x="1412175" y="3198975"/>
            <a:ext cx="7867650" cy="1162050"/>
            <a:chOff x="5581650" y="2835828"/>
            <a:chExt cx="6753224" cy="960283"/>
          </a:xfrm>
        </xdr:grpSpPr>
        <xdr:sp>
          <xdr:nvSpPr>
            <xdr:cNvPr id="6" name="Shape 6"/>
            <xdr:cNvSpPr/>
          </xdr:nvSpPr>
          <xdr:spPr>
            <a:xfrm>
              <a:off x="5581650" y="2835828"/>
              <a:ext cx="6753200" cy="960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3" name="Shape 33"/>
            <xdr:cNvSpPr txBox="1"/>
          </xdr:nvSpPr>
          <xdr:spPr>
            <a:xfrm>
              <a:off x="9735831" y="2835828"/>
              <a:ext cx="338138" cy="19829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34" name="Shape 34"/>
            <xdr:cNvSpPr txBox="1"/>
          </xdr:nvSpPr>
          <xdr:spPr>
            <a:xfrm>
              <a:off x="9535805" y="3228186"/>
              <a:ext cx="2799069" cy="15075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35" name="Shape 35"/>
            <xdr:cNvSpPr txBox="1"/>
          </xdr:nvSpPr>
          <xdr:spPr>
            <a:xfrm>
              <a:off x="9859656" y="3600449"/>
              <a:ext cx="117275" cy="165366"/>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36" name="Shape 36"/>
            <xdr:cNvSpPr txBox="1"/>
          </xdr:nvSpPr>
          <xdr:spPr>
            <a:xfrm>
              <a:off x="5734049" y="2868756"/>
              <a:ext cx="733425" cy="187465"/>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37" name="Shape 37"/>
            <xdr:cNvSpPr txBox="1"/>
          </xdr:nvSpPr>
          <xdr:spPr>
            <a:xfrm>
              <a:off x="5581650" y="3239365"/>
              <a:ext cx="1495425" cy="171059"/>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38" name="Shape 38"/>
            <xdr:cNvSpPr txBox="1"/>
          </xdr:nvSpPr>
          <xdr:spPr>
            <a:xfrm>
              <a:off x="5724525" y="3609975"/>
              <a:ext cx="781050" cy="18613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2</xdr:col>
      <xdr:colOff>38100</xdr:colOff>
      <xdr:row>6</xdr:row>
      <xdr:rowOff>266700</xdr:rowOff>
    </xdr:from>
    <xdr:ext cx="3438525" cy="171450"/>
    <xdr:sp>
      <xdr:nvSpPr>
        <xdr:cNvPr id="39" name="Shape 39"/>
        <xdr:cNvSpPr txBox="1"/>
      </xdr:nvSpPr>
      <xdr:spPr>
        <a:xfrm>
          <a:off x="3627100" y="3697317"/>
          <a:ext cx="3437801" cy="1653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1</xdr:col>
      <xdr:colOff>2895600</xdr:colOff>
      <xdr:row>7</xdr:row>
      <xdr:rowOff>104775</xdr:rowOff>
    </xdr:from>
    <xdr:ext cx="7829550" cy="1571625"/>
    <xdr:grpSp>
      <xdr:nvGrpSpPr>
        <xdr:cNvPr id="2" name="Shape 2"/>
        <xdr:cNvGrpSpPr/>
      </xdr:nvGrpSpPr>
      <xdr:grpSpPr>
        <a:xfrm>
          <a:off x="1431225" y="2994188"/>
          <a:ext cx="7829550" cy="1571625"/>
          <a:chOff x="1431225" y="2994188"/>
          <a:chExt cx="7829550" cy="1571625"/>
        </a:xfrm>
      </xdr:grpSpPr>
      <xdr:grpSp>
        <xdr:nvGrpSpPr>
          <xdr:cNvPr id="40" name="Shape 40"/>
          <xdr:cNvGrpSpPr/>
        </xdr:nvGrpSpPr>
        <xdr:grpSpPr>
          <a:xfrm>
            <a:off x="1431225" y="2994188"/>
            <a:ext cx="7829550" cy="1571625"/>
            <a:chOff x="5572125" y="9258301"/>
            <a:chExt cx="6715125" cy="1573458"/>
          </a:xfrm>
        </xdr:grpSpPr>
        <xdr:sp>
          <xdr:nvSpPr>
            <xdr:cNvPr id="6" name="Shape 6"/>
            <xdr:cNvSpPr/>
          </xdr:nvSpPr>
          <xdr:spPr>
            <a:xfrm>
              <a:off x="5572125" y="9258301"/>
              <a:ext cx="6715125" cy="1573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 name="Shape 41"/>
            <xdr:cNvGrpSpPr/>
          </xdr:nvGrpSpPr>
          <xdr:grpSpPr>
            <a:xfrm>
              <a:off x="5572125" y="9258301"/>
              <a:ext cx="6715125" cy="1143000"/>
              <a:chOff x="5514975" y="2835828"/>
              <a:chExt cx="6715125" cy="944540"/>
            </a:xfrm>
          </xdr:grpSpPr>
          <xdr:sp>
            <xdr:nvSpPr>
              <xdr:cNvPr id="42" name="Shape 42"/>
              <xdr:cNvSpPr txBox="1"/>
            </xdr:nvSpPr>
            <xdr:spPr>
              <a:xfrm>
                <a:off x="9735831" y="2835828"/>
                <a:ext cx="338138" cy="19829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43" name="Shape 43"/>
              <xdr:cNvSpPr txBox="1"/>
            </xdr:nvSpPr>
            <xdr:spPr>
              <a:xfrm>
                <a:off x="9601200" y="3236058"/>
                <a:ext cx="1562099" cy="158625"/>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44" name="Shape 44"/>
              <xdr:cNvSpPr txBox="1"/>
            </xdr:nvSpPr>
            <xdr:spPr>
              <a:xfrm>
                <a:off x="9639300" y="3600449"/>
                <a:ext cx="2590800" cy="140565"/>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45" name="Shape 45"/>
              <xdr:cNvSpPr txBox="1"/>
            </xdr:nvSpPr>
            <xdr:spPr>
              <a:xfrm>
                <a:off x="5734049" y="2868756"/>
                <a:ext cx="733425" cy="187465"/>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46" name="Shape 46"/>
              <xdr:cNvSpPr txBox="1"/>
            </xdr:nvSpPr>
            <xdr:spPr>
              <a:xfrm>
                <a:off x="5514975" y="3239365"/>
                <a:ext cx="1495425" cy="171059"/>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47" name="Shape 47"/>
              <xdr:cNvSpPr txBox="1"/>
            </xdr:nvSpPr>
            <xdr:spPr>
              <a:xfrm>
                <a:off x="5619749" y="3625717"/>
                <a:ext cx="1343026" cy="154651"/>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grpSp>
        <xdr:sp>
          <xdr:nvSpPr>
            <xdr:cNvPr id="48" name="Shape 48"/>
            <xdr:cNvSpPr txBox="1"/>
          </xdr:nvSpPr>
          <xdr:spPr>
            <a:xfrm>
              <a:off x="5648324" y="10639427"/>
              <a:ext cx="1066801" cy="180974"/>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49" name="Shape 49"/>
            <xdr:cNvSpPr txBox="1"/>
          </xdr:nvSpPr>
          <xdr:spPr>
            <a:xfrm>
              <a:off x="9782175" y="10591801"/>
              <a:ext cx="338138" cy="239958"/>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grpSp>
    </xdr:grpSp>
    <xdr:clientData fLocksWithSheet="0"/>
  </xdr:oneCellAnchor>
  <xdr:oneCellAnchor>
    <xdr:from>
      <xdr:col>1</xdr:col>
      <xdr:colOff>2914650</xdr:colOff>
      <xdr:row>8</xdr:row>
      <xdr:rowOff>247650</xdr:rowOff>
    </xdr:from>
    <xdr:ext cx="7277100" cy="1171575"/>
    <xdr:grpSp>
      <xdr:nvGrpSpPr>
        <xdr:cNvPr id="2" name="Shape 2"/>
        <xdr:cNvGrpSpPr/>
      </xdr:nvGrpSpPr>
      <xdr:grpSpPr>
        <a:xfrm>
          <a:off x="1707450" y="3194213"/>
          <a:ext cx="7277100" cy="1171575"/>
          <a:chOff x="1707450" y="3194213"/>
          <a:chExt cx="7277100" cy="1171575"/>
        </a:xfrm>
      </xdr:grpSpPr>
      <xdr:grpSp>
        <xdr:nvGrpSpPr>
          <xdr:cNvPr id="50" name="Shape 50"/>
          <xdr:cNvGrpSpPr/>
        </xdr:nvGrpSpPr>
        <xdr:grpSpPr>
          <a:xfrm>
            <a:off x="1707450" y="3194213"/>
            <a:ext cx="7277100" cy="1171575"/>
            <a:chOff x="5514975" y="2835828"/>
            <a:chExt cx="6162674" cy="968155"/>
          </a:xfrm>
        </xdr:grpSpPr>
        <xdr:sp>
          <xdr:nvSpPr>
            <xdr:cNvPr id="6" name="Shape 6"/>
            <xdr:cNvSpPr/>
          </xdr:nvSpPr>
          <xdr:spPr>
            <a:xfrm>
              <a:off x="5514975" y="2835828"/>
              <a:ext cx="6162650" cy="96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1" name="Shape 51"/>
            <xdr:cNvSpPr txBox="1"/>
          </xdr:nvSpPr>
          <xdr:spPr>
            <a:xfrm>
              <a:off x="9735831" y="2835828"/>
              <a:ext cx="338138" cy="198294"/>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52" name="Shape 52"/>
            <xdr:cNvSpPr txBox="1"/>
          </xdr:nvSpPr>
          <xdr:spPr>
            <a:xfrm>
              <a:off x="8878580" y="3149474"/>
              <a:ext cx="2799069" cy="276693"/>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53" name="Shape 53"/>
            <xdr:cNvSpPr txBox="1"/>
          </xdr:nvSpPr>
          <xdr:spPr>
            <a:xfrm>
              <a:off x="9859656" y="3600450"/>
              <a:ext cx="265419" cy="164178"/>
            </a:xfrm>
            <a:prstGeom prst="rect">
              <a:avLst/>
            </a:prstGeom>
            <a:noFill/>
            <a:ln>
              <a:noFill/>
            </a:ln>
          </xdr:spPr>
          <xdr:txBody>
            <a:bodyPr anchorCtr="0" anchor="t" bIns="0" lIns="0" spcFirstLastPara="1" rIns="0" wrap="square" tIns="0">
              <a:noAutofit/>
            </a:bodyPr>
            <a:lstStyle/>
            <a:p>
              <a:pPr indent="0" lvl="0" marL="0" rtl="0" algn="r">
                <a:spcBef>
                  <a:spcPts val="0"/>
                </a:spcBef>
                <a:spcAft>
                  <a:spcPts val="0"/>
                </a:spcAft>
                <a:buNone/>
              </a:pPr>
              <a:r>
                <a:t/>
              </a:r>
              <a:endParaRPr sz="1100"/>
            </a:p>
          </xdr:txBody>
        </xdr:sp>
        <xdr:sp>
          <xdr:nvSpPr>
            <xdr:cNvPr id="54" name="Shape 54"/>
            <xdr:cNvSpPr txBox="1"/>
          </xdr:nvSpPr>
          <xdr:spPr>
            <a:xfrm>
              <a:off x="5734049" y="2868756"/>
              <a:ext cx="733425" cy="187465"/>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55" name="Shape 55"/>
            <xdr:cNvSpPr txBox="1"/>
          </xdr:nvSpPr>
          <xdr:spPr>
            <a:xfrm>
              <a:off x="5514975" y="3247236"/>
              <a:ext cx="1495425" cy="171059"/>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sp>
          <xdr:nvSpPr>
            <xdr:cNvPr id="56" name="Shape 56"/>
            <xdr:cNvSpPr txBox="1"/>
          </xdr:nvSpPr>
          <xdr:spPr>
            <a:xfrm>
              <a:off x="5695950" y="3617847"/>
              <a:ext cx="781050" cy="186136"/>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2</xdr:col>
      <xdr:colOff>66675</xdr:colOff>
      <xdr:row>9</xdr:row>
      <xdr:rowOff>238125</xdr:rowOff>
    </xdr:from>
    <xdr:ext cx="1533525" cy="171450"/>
    <xdr:sp>
      <xdr:nvSpPr>
        <xdr:cNvPr id="57" name="Shape 57"/>
        <xdr:cNvSpPr txBox="1"/>
      </xdr:nvSpPr>
      <xdr:spPr>
        <a:xfrm>
          <a:off x="4582330" y="3694400"/>
          <a:ext cx="1527341" cy="171201"/>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66675</xdr:colOff>
      <xdr:row>10</xdr:row>
      <xdr:rowOff>419100</xdr:rowOff>
    </xdr:from>
    <xdr:ext cx="6134100" cy="190500"/>
    <xdr:sp>
      <xdr:nvSpPr>
        <xdr:cNvPr id="58" name="Shape 58"/>
        <xdr:cNvSpPr txBox="1"/>
      </xdr:nvSpPr>
      <xdr:spPr>
        <a:xfrm>
          <a:off x="2282565" y="3688917"/>
          <a:ext cx="6126870" cy="182166"/>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rPr b="0" lang="en-US" sz="1100">
              <a:solidFill>
                <a:schemeClr val="dk1"/>
              </a:solidFill>
              <a:latin typeface="Cambria"/>
              <a:ea typeface="Cambria"/>
              <a:cs typeface="Cambria"/>
              <a:sym typeface="Cambria"/>
            </a:rPr>
            <a:t>delta</a:t>
          </a:r>
          <a:endParaRPr sz="1100">
            <a:latin typeface="Cambria"/>
            <a:ea typeface="Cambria"/>
            <a:cs typeface="Cambria"/>
            <a:sym typeface="Cambria"/>
          </a:endParaRPr>
        </a:p>
      </xdr:txBody>
    </xdr:sp>
    <xdr:clientData fLocksWithSheet="0"/>
  </xdr:oneCellAnchor>
  <xdr:oneCellAnchor>
    <xdr:from>
      <xdr:col>2</xdr:col>
      <xdr:colOff>38100</xdr:colOff>
      <xdr:row>11</xdr:row>
      <xdr:rowOff>333375</xdr:rowOff>
    </xdr:from>
    <xdr:ext cx="4762500" cy="171450"/>
    <xdr:sp>
      <xdr:nvSpPr>
        <xdr:cNvPr id="59" name="Shape 59"/>
        <xdr:cNvSpPr txBox="1"/>
      </xdr:nvSpPr>
      <xdr:spPr>
        <a:xfrm>
          <a:off x="2969485" y="3695586"/>
          <a:ext cx="4753031" cy="168829"/>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66675</xdr:colOff>
      <xdr:row>12</xdr:row>
      <xdr:rowOff>142875</xdr:rowOff>
    </xdr:from>
    <xdr:ext cx="5534025" cy="171450"/>
    <xdr:sp>
      <xdr:nvSpPr>
        <xdr:cNvPr id="60" name="Shape 60"/>
        <xdr:cNvSpPr txBox="1"/>
      </xdr:nvSpPr>
      <xdr:spPr>
        <a:xfrm>
          <a:off x="2582872" y="3695778"/>
          <a:ext cx="5526256"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95250</xdr:colOff>
      <xdr:row>13</xdr:row>
      <xdr:rowOff>180975</xdr:rowOff>
    </xdr:from>
    <xdr:ext cx="2390775" cy="171450"/>
    <xdr:sp>
      <xdr:nvSpPr>
        <xdr:cNvPr id="61" name="Shape 61"/>
        <xdr:cNvSpPr txBox="1"/>
      </xdr:nvSpPr>
      <xdr:spPr>
        <a:xfrm>
          <a:off x="4151955" y="3695778"/>
          <a:ext cx="2388090"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95250</xdr:colOff>
      <xdr:row>14</xdr:row>
      <xdr:rowOff>142875</xdr:rowOff>
    </xdr:from>
    <xdr:ext cx="5353050" cy="171450"/>
    <xdr:sp>
      <xdr:nvSpPr>
        <xdr:cNvPr id="62" name="Shape 62"/>
        <xdr:cNvSpPr txBox="1"/>
      </xdr:nvSpPr>
      <xdr:spPr>
        <a:xfrm>
          <a:off x="2671197" y="3695778"/>
          <a:ext cx="5349606"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95250</xdr:colOff>
      <xdr:row>15</xdr:row>
      <xdr:rowOff>142875</xdr:rowOff>
    </xdr:from>
    <xdr:ext cx="4572000" cy="704850"/>
    <xdr:sp>
      <xdr:nvSpPr>
        <xdr:cNvPr id="63" name="Shape 63"/>
        <xdr:cNvSpPr txBox="1"/>
      </xdr:nvSpPr>
      <xdr:spPr>
        <a:xfrm>
          <a:off x="3062298" y="3430449"/>
          <a:ext cx="4567404" cy="699102"/>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114300</xdr:colOff>
      <xdr:row>16</xdr:row>
      <xdr:rowOff>371475</xdr:rowOff>
    </xdr:from>
    <xdr:ext cx="4391025" cy="171450"/>
    <xdr:sp>
      <xdr:nvSpPr>
        <xdr:cNvPr id="64" name="Shape 64"/>
        <xdr:cNvSpPr txBox="1"/>
      </xdr:nvSpPr>
      <xdr:spPr>
        <a:xfrm>
          <a:off x="3152002" y="3695778"/>
          <a:ext cx="4387996"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142875</xdr:colOff>
      <xdr:row>17</xdr:row>
      <xdr:rowOff>361950</xdr:rowOff>
    </xdr:from>
    <xdr:ext cx="2009775" cy="323850"/>
    <xdr:sp>
      <xdr:nvSpPr>
        <xdr:cNvPr id="65" name="Shape 65"/>
        <xdr:cNvSpPr txBox="1"/>
      </xdr:nvSpPr>
      <xdr:spPr>
        <a:xfrm>
          <a:off x="4344476" y="3619604"/>
          <a:ext cx="2003049" cy="320793"/>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123825</xdr:colOff>
      <xdr:row>18</xdr:row>
      <xdr:rowOff>133350</xdr:rowOff>
    </xdr:from>
    <xdr:ext cx="3971925" cy="171450"/>
    <xdr:sp>
      <xdr:nvSpPr>
        <xdr:cNvPr id="66" name="Shape 66"/>
        <xdr:cNvSpPr txBox="1"/>
      </xdr:nvSpPr>
      <xdr:spPr>
        <a:xfrm>
          <a:off x="3361002" y="3695778"/>
          <a:ext cx="3969997"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95250</xdr:colOff>
      <xdr:row>19</xdr:row>
      <xdr:rowOff>114300</xdr:rowOff>
    </xdr:from>
    <xdr:ext cx="4057650" cy="171450"/>
    <xdr:sp>
      <xdr:nvSpPr>
        <xdr:cNvPr id="67" name="Shape 67"/>
        <xdr:cNvSpPr txBox="1"/>
      </xdr:nvSpPr>
      <xdr:spPr>
        <a:xfrm>
          <a:off x="3321311" y="3695778"/>
          <a:ext cx="4049378"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123825</xdr:colOff>
      <xdr:row>20</xdr:row>
      <xdr:rowOff>76200</xdr:rowOff>
    </xdr:from>
    <xdr:ext cx="3895725" cy="171450"/>
    <xdr:sp>
      <xdr:nvSpPr>
        <xdr:cNvPr id="68" name="Shape 68"/>
        <xdr:cNvSpPr txBox="1"/>
      </xdr:nvSpPr>
      <xdr:spPr>
        <a:xfrm>
          <a:off x="3399762" y="3695778"/>
          <a:ext cx="3892476"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2</xdr:col>
      <xdr:colOff>123825</xdr:colOff>
      <xdr:row>21</xdr:row>
      <xdr:rowOff>114300</xdr:rowOff>
    </xdr:from>
    <xdr:ext cx="3943350" cy="171450"/>
    <xdr:sp>
      <xdr:nvSpPr>
        <xdr:cNvPr id="69" name="Shape 69"/>
        <xdr:cNvSpPr txBox="1"/>
      </xdr:nvSpPr>
      <xdr:spPr>
        <a:xfrm>
          <a:off x="3374403" y="3695778"/>
          <a:ext cx="3943195" cy="168444"/>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9" displayName="Table_1" name="Table_1" id="1">
  <tableColumns count="6">
    <tableColumn name="Disease" id="1"/>
    <tableColumn name="Parameter " id="2"/>
    <tableColumn name="Temperature restraint" id="3"/>
    <tableColumn name="Equation" id="4"/>
    <tableColumn name="Paper" id="5"/>
    <tableColumn name="Source " id="6"/>
  </tableColumns>
  <tableStyleInfo name="Temperature Dependent Functions-style" showColumnStripes="0" showFirstColumn="1" showLastColumn="1" showRowStripes="1"/>
</table>
</file>

<file path=xl/tables/table2.xml><?xml version="1.0" encoding="utf-8"?>
<table xmlns="http://schemas.openxmlformats.org/spreadsheetml/2006/main" ref="A1:Y17" displayName="Table_2" name="Table_2" id="2">
  <tableColumns count="25">
    <tableColumn name="DOI / Link" id="1"/>
    <tableColumn name="Title" id="2"/>
    <tableColumn name="Author" id="3"/>
    <tableColumn name="Year" id="4"/>
    <tableColumn name="Region / Location" id="5"/>
    <tableColumn name="Modeling Objective " id="6"/>
    <tableColumn name="Model Type" id="7"/>
    <tableColumn name="Model Description" id="8"/>
    <tableColumn name="Mosquito Species" id="9"/>
    <tableColumn name="Data Sources" id="10"/>
    <tableColumn name="Model Fitting" id="11"/>
    <tableColumn name="Parameterization" id="12"/>
    <tableColumn name="Temperature/Precipitation-dependent Parameters" id="13"/>
    <tableColumn name="Temperature-dependent Funciton" id="14"/>
    <tableColumn name="Temperature Equation Source" id="15"/>
    <tableColumn name="Control Strategies" id="16"/>
    <tableColumn name="Temperature/ Precipitation Related Assumptions" id="17"/>
    <tableColumn name="Sensitivity Analysis" id="18"/>
    <tableColumn name="Scenario Analysis" id="19"/>
    <tableColumn name="Uncertainty Ananlysis" id="20"/>
    <tableColumn name="Model Validation" id="21"/>
    <tableColumn name="Metric Assessed" id="22"/>
    <tableColumn name="Temperature/Precipitation Related Model Conclusions" id="23"/>
    <tableColumn name="Key Limitations" id="24"/>
    <tableColumn name="Additional Notes" id="25"/>
  </tableColumns>
  <tableStyleInfo name="Chikunguny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doi.org/10.1186/s12889-025-24923-2" TargetMode="External"/><Relationship Id="rId10" Type="http://schemas.openxmlformats.org/officeDocument/2006/relationships/hyperlink" Target="https://doi.org/10.1016/j.rico.2023.100206" TargetMode="External"/><Relationship Id="rId13" Type="http://schemas.openxmlformats.org/officeDocument/2006/relationships/hyperlink" Target="https://doi.org/10.1371/journal.pone.0018860" TargetMode="External"/><Relationship Id="rId12" Type="http://schemas.openxmlformats.org/officeDocument/2006/relationships/hyperlink" Target="https://doi.org/10.1016/j.actatropica.2013.08.004" TargetMode="External"/><Relationship Id="rId1" Type="http://schemas.openxmlformats.org/officeDocument/2006/relationships/hyperlink" Target="https://doi.org/10.1371/journal.pntd.0001918" TargetMode="External"/><Relationship Id="rId2" Type="http://schemas.openxmlformats.org/officeDocument/2006/relationships/hyperlink" Target="http://www.census.gov/" TargetMode="External"/><Relationship Id="rId3" Type="http://schemas.openxmlformats.org/officeDocument/2006/relationships/hyperlink" Target="https://doi.org/10.3390/vaccines13121181" TargetMode="External"/><Relationship Id="rId4" Type="http://schemas.openxmlformats.org/officeDocument/2006/relationships/hyperlink" Target="https://doi.org/10.1093/trstmh/trv114" TargetMode="External"/><Relationship Id="rId9" Type="http://schemas.openxmlformats.org/officeDocument/2006/relationships/hyperlink" Target="https://doi.org/10.1016/j.apm.2019.11.038" TargetMode="External"/><Relationship Id="rId15" Type="http://schemas.openxmlformats.org/officeDocument/2006/relationships/hyperlink" Target="https://doi.org/10.1371/journal.pntd.0012713" TargetMode="External"/><Relationship Id="rId14" Type="http://schemas.openxmlformats.org/officeDocument/2006/relationships/hyperlink" Target="https://link.springer.com/article/10.1186/s12879-016-1348-y" TargetMode="External"/><Relationship Id="rId17" Type="http://schemas.openxmlformats.org/officeDocument/2006/relationships/hyperlink" Target="https://doi.org/10.1289/EHP669." TargetMode="External"/><Relationship Id="rId16" Type="http://schemas.openxmlformats.org/officeDocument/2006/relationships/hyperlink" Target="https://doi.org/10.3390/v13061024" TargetMode="External"/><Relationship Id="rId5" Type="http://schemas.openxmlformats.org/officeDocument/2006/relationships/hyperlink" Target="https://doi.org/10.1016/j.mbs.2025.109597" TargetMode="External"/><Relationship Id="rId6" Type="http://schemas.openxmlformats.org/officeDocument/2006/relationships/hyperlink" Target="https://doi.org/10.1371/journal.pntd.0004762" TargetMode="External"/><Relationship Id="rId18" Type="http://schemas.openxmlformats.org/officeDocument/2006/relationships/drawing" Target="../drawings/drawing2.xml"/><Relationship Id="rId7" Type="http://schemas.openxmlformats.org/officeDocument/2006/relationships/hyperlink" Target="https://doi.org/10.1016/j.scitotenv.2018.07.461" TargetMode="External"/><Relationship Id="rId8" Type="http://schemas.openxmlformats.org/officeDocument/2006/relationships/hyperlink" Target="https://doi.org/10.1016/j.cnsns.2020.1054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25"/>
    <col customWidth="1" min="2" max="2" width="46.13"/>
    <col customWidth="1" min="3" max="4" width="70.75"/>
    <col customWidth="1" min="5" max="5" width="24.0"/>
    <col customWidth="1" min="6" max="6" width="89.38"/>
  </cols>
  <sheetData>
    <row r="1" ht="12.75" customHeight="1">
      <c r="A1" s="1" t="s">
        <v>0</v>
      </c>
      <c r="B1" s="1" t="s">
        <v>1</v>
      </c>
      <c r="C1" s="2" t="s">
        <v>2</v>
      </c>
      <c r="D1" s="1" t="s">
        <v>3</v>
      </c>
      <c r="E1" s="3" t="s">
        <v>4</v>
      </c>
      <c r="F1" s="1" t="s">
        <v>5</v>
      </c>
    </row>
    <row r="2" ht="175.5" customHeight="1">
      <c r="A2" s="4" t="s">
        <v>6</v>
      </c>
      <c r="B2" s="4" t="s">
        <v>7</v>
      </c>
      <c r="C2" s="5"/>
      <c r="D2" s="4"/>
      <c r="E2" s="6" t="s">
        <v>8</v>
      </c>
      <c r="F2" s="4" t="s">
        <v>9</v>
      </c>
    </row>
    <row r="3" ht="132.75" customHeight="1">
      <c r="A3" s="7" t="s">
        <v>6</v>
      </c>
      <c r="B3" s="7" t="s">
        <v>10</v>
      </c>
      <c r="C3" s="8"/>
      <c r="D3" s="7"/>
      <c r="E3" s="9" t="s">
        <v>8</v>
      </c>
      <c r="F3" s="7" t="s">
        <v>9</v>
      </c>
      <c r="G3" s="10"/>
      <c r="H3" s="10"/>
      <c r="I3" s="10"/>
      <c r="J3" s="10"/>
      <c r="K3" s="10"/>
      <c r="L3" s="10"/>
      <c r="M3" s="10"/>
      <c r="N3" s="10"/>
      <c r="O3" s="10"/>
      <c r="P3" s="10"/>
      <c r="Q3" s="10"/>
      <c r="R3" s="10"/>
      <c r="S3" s="10"/>
      <c r="T3" s="10"/>
      <c r="U3" s="10"/>
      <c r="V3" s="10"/>
      <c r="W3" s="10"/>
      <c r="X3" s="10"/>
      <c r="Y3" s="10"/>
    </row>
    <row r="4" ht="68.25" customHeight="1">
      <c r="A4" s="4" t="s">
        <v>6</v>
      </c>
      <c r="B4" s="4" t="s">
        <v>11</v>
      </c>
      <c r="C4" s="5"/>
      <c r="D4" s="4"/>
      <c r="E4" s="6" t="s">
        <v>8</v>
      </c>
      <c r="F4" s="4" t="s">
        <v>9</v>
      </c>
    </row>
    <row r="5" ht="138.75" customHeight="1">
      <c r="A5" s="7" t="s">
        <v>6</v>
      </c>
      <c r="B5" s="7" t="s">
        <v>12</v>
      </c>
      <c r="C5" s="8"/>
      <c r="D5" s="7"/>
      <c r="E5" s="9" t="s">
        <v>8</v>
      </c>
      <c r="F5" s="7" t="s">
        <v>9</v>
      </c>
      <c r="G5" s="10"/>
      <c r="H5" s="10"/>
      <c r="I5" s="10"/>
      <c r="J5" s="10"/>
      <c r="K5" s="10"/>
      <c r="L5" s="10"/>
      <c r="M5" s="10"/>
      <c r="N5" s="10"/>
      <c r="O5" s="10"/>
      <c r="P5" s="10"/>
      <c r="Q5" s="10"/>
      <c r="R5" s="10"/>
      <c r="S5" s="10"/>
      <c r="T5" s="10"/>
      <c r="U5" s="10"/>
      <c r="V5" s="10"/>
      <c r="W5" s="10"/>
      <c r="X5" s="10"/>
      <c r="Y5" s="10"/>
    </row>
    <row r="6" ht="133.5" customHeight="1">
      <c r="A6" s="4" t="s">
        <v>6</v>
      </c>
      <c r="B6" s="4" t="s">
        <v>13</v>
      </c>
      <c r="C6" s="5"/>
      <c r="D6" s="4"/>
      <c r="E6" s="6" t="s">
        <v>8</v>
      </c>
      <c r="F6" s="4" t="s">
        <v>9</v>
      </c>
    </row>
    <row r="7" ht="59.25" customHeight="1">
      <c r="A7" s="4" t="s">
        <v>6</v>
      </c>
      <c r="B7" s="4" t="s">
        <v>14</v>
      </c>
      <c r="C7" s="5"/>
      <c r="D7" s="4"/>
      <c r="E7" s="6" t="s">
        <v>8</v>
      </c>
      <c r="F7" s="4" t="s">
        <v>9</v>
      </c>
    </row>
    <row r="8" ht="143.25" customHeight="1">
      <c r="A8" s="4" t="s">
        <v>6</v>
      </c>
      <c r="B8" s="4" t="s">
        <v>15</v>
      </c>
      <c r="C8" s="5"/>
      <c r="D8" s="4"/>
      <c r="E8" s="6" t="s">
        <v>8</v>
      </c>
      <c r="F8" s="4" t="s">
        <v>9</v>
      </c>
      <c r="K8" s="11" t="s">
        <v>16</v>
      </c>
    </row>
    <row r="9" ht="137.25" customHeight="1">
      <c r="A9" s="4" t="s">
        <v>6</v>
      </c>
      <c r="B9" s="4" t="s">
        <v>17</v>
      </c>
      <c r="C9" s="5"/>
      <c r="D9" s="4"/>
      <c r="E9" s="6" t="s">
        <v>8</v>
      </c>
      <c r="F9" s="4" t="s">
        <v>9</v>
      </c>
    </row>
    <row r="10" ht="57.75" customHeight="1">
      <c r="A10" s="4" t="s">
        <v>6</v>
      </c>
      <c r="B10" s="4" t="s">
        <v>18</v>
      </c>
      <c r="C10" s="5"/>
      <c r="D10" s="4"/>
      <c r="E10" s="6" t="s">
        <v>19</v>
      </c>
      <c r="F10" s="4" t="str">
        <f>Chikungunya!O$3</f>
        <v>Yang, H.; Macoris, M.; Galvani, K.; Andrighetti, M.; Wanderley, D. Assessing the effects of temperature on the population of Aedes aegypti, the vector of dengue. Epidemiol. Infect. 2009, 137, 1188–1202.</v>
      </c>
    </row>
    <row r="11" ht="82.5" customHeight="1">
      <c r="A11" s="4" t="s">
        <v>6</v>
      </c>
      <c r="B11" s="4" t="s">
        <v>20</v>
      </c>
      <c r="C11" s="5"/>
      <c r="D11" s="4"/>
      <c r="E11" s="6" t="s">
        <v>19</v>
      </c>
      <c r="F11" s="4" t="str">
        <f>Chikungunya!O$3</f>
        <v>Yang, H.; Macoris, M.; Galvani, K.; Andrighetti, M.; Wanderley, D. Assessing the effects of temperature on the population of Aedes aegypti, the vector of dengue. Epidemiol. Infect. 2009, 137, 1188–1202.</v>
      </c>
    </row>
    <row r="12" ht="68.25" customHeight="1">
      <c r="A12" s="4" t="s">
        <v>6</v>
      </c>
      <c r="B12" s="4" t="s">
        <v>21</v>
      </c>
      <c r="C12" s="5"/>
      <c r="D12" s="4"/>
      <c r="E12" s="6" t="s">
        <v>19</v>
      </c>
      <c r="F12" s="4" t="str">
        <f>Chikungunya!O$3</f>
        <v>Yang, H.; Macoris, M.; Galvani, K.; Andrighetti, M.; Wanderley, D. Assessing the effects of temperature on the population of Aedes aegypti, the vector of dengue. Epidemiol. Infect. 2009, 137, 1188–1202.</v>
      </c>
    </row>
    <row r="13" ht="12.75" customHeight="1">
      <c r="A13" s="7" t="s">
        <v>6</v>
      </c>
      <c r="B13" s="7" t="s">
        <v>22</v>
      </c>
      <c r="C13" s="8"/>
      <c r="D13" s="7"/>
      <c r="E13" s="9" t="s">
        <v>23</v>
      </c>
      <c r="F13" s="7" t="s">
        <v>24</v>
      </c>
      <c r="G13" s="10"/>
      <c r="H13" s="10"/>
      <c r="I13" s="10"/>
      <c r="J13" s="10"/>
      <c r="K13" s="10"/>
      <c r="L13" s="10"/>
      <c r="M13" s="10"/>
      <c r="N13" s="10"/>
      <c r="O13" s="10"/>
      <c r="P13" s="10"/>
      <c r="Q13" s="10"/>
      <c r="R13" s="10"/>
      <c r="S13" s="10"/>
      <c r="T13" s="10"/>
      <c r="U13" s="10"/>
      <c r="V13" s="10"/>
      <c r="W13" s="10"/>
      <c r="X13" s="10"/>
      <c r="Y13" s="10"/>
    </row>
    <row r="14" ht="12.75" customHeight="1">
      <c r="A14" s="4" t="s">
        <v>6</v>
      </c>
      <c r="B14" s="4" t="s">
        <v>25</v>
      </c>
      <c r="C14" s="5"/>
      <c r="D14" s="4"/>
      <c r="E14" s="6" t="s">
        <v>23</v>
      </c>
      <c r="F14" s="4" t="s">
        <v>26</v>
      </c>
    </row>
    <row r="15" ht="36.0" customHeight="1">
      <c r="A15" s="4" t="s">
        <v>6</v>
      </c>
      <c r="B15" s="4" t="s">
        <v>27</v>
      </c>
      <c r="C15" s="5"/>
      <c r="D15" s="4"/>
      <c r="E15" s="6" t="s">
        <v>23</v>
      </c>
      <c r="F15" s="4" t="s">
        <v>28</v>
      </c>
    </row>
    <row r="16" ht="75.0" customHeight="1">
      <c r="A16" s="7" t="s">
        <v>6</v>
      </c>
      <c r="B16" s="7" t="s">
        <v>29</v>
      </c>
      <c r="C16" s="8"/>
      <c r="D16" s="7"/>
      <c r="E16" s="9" t="s">
        <v>23</v>
      </c>
      <c r="F16" s="7" t="s">
        <v>30</v>
      </c>
      <c r="G16" s="10"/>
      <c r="H16" s="10"/>
      <c r="I16" s="10"/>
      <c r="J16" s="10"/>
      <c r="K16" s="10"/>
      <c r="L16" s="10"/>
      <c r="M16" s="10"/>
      <c r="N16" s="10"/>
      <c r="O16" s="10"/>
      <c r="P16" s="10"/>
      <c r="Q16" s="10"/>
      <c r="R16" s="10"/>
      <c r="S16" s="10"/>
      <c r="T16" s="10"/>
      <c r="U16" s="10"/>
      <c r="V16" s="10"/>
      <c r="W16" s="10"/>
      <c r="X16" s="10"/>
      <c r="Y16" s="10"/>
    </row>
    <row r="17" ht="70.5" customHeight="1">
      <c r="A17" s="4" t="s">
        <v>6</v>
      </c>
      <c r="B17" s="4" t="s">
        <v>31</v>
      </c>
      <c r="C17" s="5"/>
      <c r="D17" s="4"/>
      <c r="E17" s="6" t="s">
        <v>23</v>
      </c>
      <c r="F17" s="4" t="s">
        <v>28</v>
      </c>
    </row>
    <row r="18" ht="12.75" customHeight="1">
      <c r="A18" s="4" t="s">
        <v>6</v>
      </c>
      <c r="B18" s="4" t="s">
        <v>32</v>
      </c>
      <c r="C18" s="5"/>
      <c r="D18" s="4"/>
      <c r="E18" s="6" t="s">
        <v>23</v>
      </c>
      <c r="F18" s="4" t="s">
        <v>33</v>
      </c>
    </row>
    <row r="19" ht="33.0" customHeight="1">
      <c r="A19" s="4" t="s">
        <v>6</v>
      </c>
      <c r="B19" s="4" t="s">
        <v>34</v>
      </c>
      <c r="C19" s="5"/>
      <c r="D19" s="4"/>
      <c r="E19" s="4" t="s">
        <v>35</v>
      </c>
      <c r="F19" s="4" t="s">
        <v>9</v>
      </c>
    </row>
    <row r="20" ht="31.5" customHeight="1">
      <c r="A20" s="4" t="s">
        <v>6</v>
      </c>
      <c r="B20" s="4" t="s">
        <v>36</v>
      </c>
      <c r="C20" s="5"/>
      <c r="D20" s="4"/>
      <c r="E20" s="4" t="s">
        <v>35</v>
      </c>
      <c r="F20" s="4" t="s">
        <v>9</v>
      </c>
    </row>
    <row r="21" ht="27.0" customHeight="1">
      <c r="A21" s="7" t="s">
        <v>6</v>
      </c>
      <c r="B21" s="7" t="s">
        <v>37</v>
      </c>
      <c r="C21" s="8"/>
      <c r="D21" s="7"/>
      <c r="E21" s="7" t="s">
        <v>35</v>
      </c>
      <c r="F21" s="7" t="s">
        <v>9</v>
      </c>
      <c r="G21" s="10"/>
      <c r="H21" s="10"/>
      <c r="I21" s="10"/>
      <c r="J21" s="10"/>
      <c r="K21" s="10"/>
      <c r="L21" s="10"/>
      <c r="M21" s="10"/>
      <c r="N21" s="10"/>
      <c r="O21" s="10"/>
      <c r="P21" s="10"/>
      <c r="Q21" s="10"/>
      <c r="R21" s="10"/>
      <c r="S21" s="10"/>
      <c r="T21" s="10"/>
      <c r="U21" s="10"/>
      <c r="V21" s="10"/>
      <c r="W21" s="10"/>
      <c r="X21" s="10"/>
      <c r="Y21" s="10"/>
    </row>
    <row r="22" ht="30.0" customHeight="1">
      <c r="A22" s="4" t="s">
        <v>6</v>
      </c>
      <c r="B22" s="4" t="s">
        <v>38</v>
      </c>
      <c r="C22" s="5"/>
      <c r="D22" s="4"/>
      <c r="E22" s="4" t="s">
        <v>35</v>
      </c>
      <c r="F22" s="4" t="s">
        <v>9</v>
      </c>
    </row>
    <row r="23" ht="12.75" customHeight="1">
      <c r="A23" s="4" t="s">
        <v>6</v>
      </c>
      <c r="B23" s="4" t="s">
        <v>39</v>
      </c>
      <c r="C23" s="5" t="s">
        <v>40</v>
      </c>
      <c r="D23" s="4"/>
      <c r="E23" s="6" t="s">
        <v>41</v>
      </c>
      <c r="F23" s="4" t="s">
        <v>42</v>
      </c>
    </row>
    <row r="24" ht="12.75" customHeight="1">
      <c r="A24" s="4" t="s">
        <v>6</v>
      </c>
      <c r="B24" s="4" t="s">
        <v>43</v>
      </c>
      <c r="C24" s="5" t="s">
        <v>44</v>
      </c>
      <c r="D24" s="4"/>
      <c r="E24" s="6" t="s">
        <v>41</v>
      </c>
      <c r="F24" s="4" t="s">
        <v>45</v>
      </c>
    </row>
    <row r="25" ht="12.75" customHeight="1">
      <c r="A25" s="4" t="s">
        <v>6</v>
      </c>
      <c r="B25" s="4" t="s">
        <v>46</v>
      </c>
      <c r="C25" s="5" t="s">
        <v>47</v>
      </c>
      <c r="D25" s="4"/>
      <c r="E25" s="6" t="s">
        <v>41</v>
      </c>
      <c r="F25" s="4" t="s">
        <v>48</v>
      </c>
    </row>
    <row r="26" ht="12.75" customHeight="1">
      <c r="A26" s="4" t="s">
        <v>6</v>
      </c>
      <c r="B26" s="4" t="s">
        <v>49</v>
      </c>
      <c r="C26" s="5" t="s">
        <v>50</v>
      </c>
      <c r="D26" s="4"/>
      <c r="E26" s="6" t="s">
        <v>41</v>
      </c>
      <c r="F26" s="4" t="s">
        <v>51</v>
      </c>
    </row>
    <row r="27" ht="12.75" customHeight="1">
      <c r="A27" s="4" t="s">
        <v>6</v>
      </c>
      <c r="B27" s="4" t="s">
        <v>52</v>
      </c>
      <c r="C27" s="5" t="s">
        <v>53</v>
      </c>
      <c r="D27" s="4"/>
      <c r="E27" s="6" t="s">
        <v>41</v>
      </c>
      <c r="F27" s="4" t="s">
        <v>54</v>
      </c>
    </row>
    <row r="28" ht="12.75" customHeight="1">
      <c r="A28" s="4" t="s">
        <v>6</v>
      </c>
      <c r="B28" s="4" t="s">
        <v>55</v>
      </c>
      <c r="C28" s="5" t="s">
        <v>56</v>
      </c>
      <c r="D28" s="4"/>
      <c r="E28" s="6" t="s">
        <v>41</v>
      </c>
      <c r="F28" s="4" t="s">
        <v>57</v>
      </c>
    </row>
    <row r="29" ht="12.75" customHeight="1">
      <c r="A29" s="4" t="s">
        <v>6</v>
      </c>
      <c r="B29" s="4" t="s">
        <v>58</v>
      </c>
      <c r="C29" s="5" t="s">
        <v>59</v>
      </c>
      <c r="D29" s="4"/>
      <c r="E29" s="6" t="s">
        <v>41</v>
      </c>
      <c r="F29" s="4" t="s">
        <v>60</v>
      </c>
    </row>
    <row r="30" ht="12.75" customHeight="1">
      <c r="A30" s="4" t="s">
        <v>6</v>
      </c>
      <c r="B30" s="4" t="s">
        <v>61</v>
      </c>
      <c r="C30" s="5" t="s">
        <v>62</v>
      </c>
      <c r="D30" s="4"/>
      <c r="E30" s="6" t="s">
        <v>41</v>
      </c>
      <c r="F30" s="4" t="s">
        <v>63</v>
      </c>
    </row>
    <row r="31" ht="12.75" customHeight="1">
      <c r="A31" s="4" t="s">
        <v>6</v>
      </c>
      <c r="B31" s="4" t="s">
        <v>64</v>
      </c>
      <c r="C31" s="5" t="s">
        <v>65</v>
      </c>
      <c r="D31" s="4"/>
      <c r="E31" s="6" t="s">
        <v>66</v>
      </c>
      <c r="F31" s="4" t="s">
        <v>67</v>
      </c>
    </row>
    <row r="32" ht="12.75" customHeight="1">
      <c r="A32" s="4" t="s">
        <v>6</v>
      </c>
      <c r="B32" s="4" t="s">
        <v>68</v>
      </c>
      <c r="C32" s="5" t="s">
        <v>69</v>
      </c>
      <c r="D32" s="4"/>
      <c r="E32" s="6" t="s">
        <v>66</v>
      </c>
      <c r="F32" s="4" t="s">
        <v>70</v>
      </c>
    </row>
    <row r="33" ht="12.75" customHeight="1">
      <c r="A33" s="4" t="s">
        <v>6</v>
      </c>
      <c r="B33" s="4" t="s">
        <v>71</v>
      </c>
      <c r="C33" s="5" t="s">
        <v>72</v>
      </c>
      <c r="D33" s="4"/>
      <c r="E33" s="6" t="s">
        <v>66</v>
      </c>
      <c r="F33" s="4" t="s">
        <v>70</v>
      </c>
    </row>
    <row r="34" ht="12.75" customHeight="1">
      <c r="A34" s="4" t="s">
        <v>6</v>
      </c>
      <c r="B34" s="4" t="s">
        <v>17</v>
      </c>
      <c r="C34" s="5" t="s">
        <v>73</v>
      </c>
      <c r="D34" s="4"/>
      <c r="E34" s="6" t="s">
        <v>66</v>
      </c>
      <c r="F34" s="4" t="s">
        <v>74</v>
      </c>
    </row>
    <row r="35" ht="12.75" customHeight="1">
      <c r="A35" s="4" t="s">
        <v>6</v>
      </c>
      <c r="B35" s="4" t="s">
        <v>75</v>
      </c>
      <c r="C35" s="5" t="s">
        <v>76</v>
      </c>
      <c r="D35" s="4"/>
      <c r="E35" s="6" t="s">
        <v>66</v>
      </c>
      <c r="F35" s="4" t="s">
        <v>77</v>
      </c>
    </row>
    <row r="36" ht="12.75" customHeight="1">
      <c r="A36" s="4" t="s">
        <v>6</v>
      </c>
      <c r="B36" s="4" t="s">
        <v>17</v>
      </c>
      <c r="C36" s="5" t="s">
        <v>78</v>
      </c>
      <c r="D36" s="4"/>
      <c r="E36" s="6" t="s">
        <v>79</v>
      </c>
      <c r="F36" s="4" t="s">
        <v>80</v>
      </c>
    </row>
    <row r="37" ht="12.75" customHeight="1">
      <c r="A37" s="4" t="s">
        <v>6</v>
      </c>
      <c r="B37" s="4" t="s">
        <v>81</v>
      </c>
      <c r="C37" s="5" t="s">
        <v>82</v>
      </c>
      <c r="D37" s="4"/>
      <c r="E37" s="6" t="s">
        <v>79</v>
      </c>
      <c r="F37" s="4" t="s">
        <v>80</v>
      </c>
    </row>
    <row r="38" ht="12.75" customHeight="1">
      <c r="A38" s="4" t="s">
        <v>6</v>
      </c>
      <c r="B38" s="4" t="s">
        <v>83</v>
      </c>
      <c r="C38" s="5" t="s">
        <v>76</v>
      </c>
      <c r="D38" s="4"/>
      <c r="E38" s="6" t="s">
        <v>79</v>
      </c>
      <c r="F38" s="4" t="s">
        <v>80</v>
      </c>
    </row>
    <row r="39" ht="12.75" customHeight="1">
      <c r="A39" s="4" t="s">
        <v>6</v>
      </c>
      <c r="B39" s="4" t="s">
        <v>84</v>
      </c>
      <c r="C39" s="5" t="s">
        <v>85</v>
      </c>
      <c r="D39" s="4"/>
      <c r="E39" s="6" t="s">
        <v>79</v>
      </c>
      <c r="F39" s="4" t="s">
        <v>86</v>
      </c>
    </row>
    <row r="40" ht="12.75" customHeight="1">
      <c r="A40" s="4" t="s">
        <v>6</v>
      </c>
      <c r="B40" s="4" t="s">
        <v>87</v>
      </c>
      <c r="C40" s="5" t="s">
        <v>88</v>
      </c>
      <c r="D40" s="4"/>
      <c r="E40" s="6" t="s">
        <v>79</v>
      </c>
      <c r="F40" s="4" t="s">
        <v>86</v>
      </c>
    </row>
    <row r="41" ht="12.75" customHeight="1">
      <c r="A41" s="4" t="s">
        <v>6</v>
      </c>
      <c r="B41" s="4" t="s">
        <v>89</v>
      </c>
      <c r="C41" s="5" t="s">
        <v>90</v>
      </c>
      <c r="D41" s="4"/>
      <c r="E41" s="6" t="s">
        <v>79</v>
      </c>
      <c r="F41" s="4" t="s">
        <v>86</v>
      </c>
    </row>
    <row r="42" ht="12.75" customHeight="1">
      <c r="A42" s="4" t="s">
        <v>6</v>
      </c>
      <c r="B42" s="4" t="s">
        <v>91</v>
      </c>
      <c r="C42" s="5" t="s">
        <v>92</v>
      </c>
      <c r="D42" s="4"/>
      <c r="E42" s="6" t="s">
        <v>79</v>
      </c>
      <c r="F42" s="4" t="s">
        <v>86</v>
      </c>
    </row>
    <row r="43" ht="12.75" customHeight="1">
      <c r="A43" s="4" t="s">
        <v>6</v>
      </c>
      <c r="B43" s="4" t="s">
        <v>17</v>
      </c>
      <c r="C43" s="5" t="s">
        <v>78</v>
      </c>
      <c r="D43" s="4"/>
      <c r="E43" s="6" t="s">
        <v>93</v>
      </c>
      <c r="F43" s="4" t="s">
        <v>94</v>
      </c>
    </row>
    <row r="44" ht="12.75" customHeight="1">
      <c r="A44" s="4" t="s">
        <v>6</v>
      </c>
      <c r="B44" s="4" t="s">
        <v>81</v>
      </c>
      <c r="C44" s="5" t="s">
        <v>82</v>
      </c>
      <c r="D44" s="4"/>
      <c r="E44" s="6" t="s">
        <v>93</v>
      </c>
      <c r="F44" s="4" t="s">
        <v>94</v>
      </c>
    </row>
    <row r="45" ht="12.75" customHeight="1">
      <c r="A45" s="4" t="s">
        <v>6</v>
      </c>
      <c r="B45" s="4" t="s">
        <v>83</v>
      </c>
      <c r="C45" s="5" t="s">
        <v>76</v>
      </c>
      <c r="D45" s="4"/>
      <c r="E45" s="6" t="s">
        <v>93</v>
      </c>
      <c r="F45" s="4" t="s">
        <v>94</v>
      </c>
    </row>
    <row r="46" ht="12.75" customHeight="1">
      <c r="A46" s="4" t="s">
        <v>6</v>
      </c>
      <c r="B46" s="4" t="s">
        <v>87</v>
      </c>
      <c r="C46" s="5" t="s">
        <v>88</v>
      </c>
      <c r="D46" s="4"/>
      <c r="E46" s="6" t="s">
        <v>93</v>
      </c>
      <c r="F46" s="4" t="s">
        <v>95</v>
      </c>
    </row>
    <row r="47" ht="12.75" customHeight="1">
      <c r="A47" s="4" t="s">
        <v>6</v>
      </c>
      <c r="B47" s="4" t="s">
        <v>96</v>
      </c>
      <c r="C47" s="5" t="s">
        <v>97</v>
      </c>
      <c r="D47" s="4"/>
      <c r="E47" s="6" t="s">
        <v>93</v>
      </c>
      <c r="F47" s="4" t="s">
        <v>95</v>
      </c>
    </row>
    <row r="48" ht="12.75" customHeight="1">
      <c r="A48" s="4" t="s">
        <v>6</v>
      </c>
      <c r="B48" s="4" t="s">
        <v>98</v>
      </c>
      <c r="C48" s="5" t="s">
        <v>92</v>
      </c>
      <c r="D48" s="4"/>
      <c r="E48" s="6" t="s">
        <v>93</v>
      </c>
      <c r="F48" s="4" t="s">
        <v>95</v>
      </c>
    </row>
    <row r="49" ht="12.75" customHeight="1">
      <c r="A49" s="4" t="s">
        <v>6</v>
      </c>
      <c r="B49" s="4" t="s">
        <v>99</v>
      </c>
      <c r="C49" s="5" t="s">
        <v>100</v>
      </c>
      <c r="D49" s="4"/>
      <c r="E49" s="6" t="s">
        <v>101</v>
      </c>
      <c r="F49" s="4" t="s">
        <v>102</v>
      </c>
    </row>
    <row r="50" ht="12.75" customHeight="1">
      <c r="A50" s="4" t="s">
        <v>6</v>
      </c>
      <c r="B50" s="4" t="s">
        <v>103</v>
      </c>
      <c r="C50" s="5" t="s">
        <v>104</v>
      </c>
      <c r="D50" s="4"/>
      <c r="E50" s="6" t="s">
        <v>101</v>
      </c>
      <c r="F50" s="4" t="s">
        <v>105</v>
      </c>
    </row>
    <row r="51" ht="12.75" customHeight="1">
      <c r="A51" s="4" t="s">
        <v>6</v>
      </c>
      <c r="B51" s="4" t="s">
        <v>106</v>
      </c>
      <c r="C51" s="5" t="s">
        <v>107</v>
      </c>
      <c r="D51" s="4"/>
      <c r="E51" s="6" t="s">
        <v>101</v>
      </c>
      <c r="F51" s="4" t="s">
        <v>105</v>
      </c>
    </row>
    <row r="52" ht="12.75" customHeight="1">
      <c r="A52" s="4" t="s">
        <v>6</v>
      </c>
      <c r="B52" s="4" t="s">
        <v>108</v>
      </c>
      <c r="C52" s="5" t="s">
        <v>109</v>
      </c>
      <c r="D52" s="4"/>
      <c r="E52" s="6" t="s">
        <v>101</v>
      </c>
      <c r="F52" s="4" t="s">
        <v>110</v>
      </c>
    </row>
    <row r="53" ht="12.75" customHeight="1">
      <c r="A53" s="4" t="s">
        <v>6</v>
      </c>
      <c r="B53" s="4" t="s">
        <v>111</v>
      </c>
      <c r="C53" s="5" t="s">
        <v>76</v>
      </c>
      <c r="D53" s="4"/>
      <c r="E53" s="6" t="s">
        <v>101</v>
      </c>
      <c r="F53" s="4" t="s">
        <v>112</v>
      </c>
    </row>
    <row r="54" ht="12.75" customHeight="1">
      <c r="A54" s="4" t="s">
        <v>6</v>
      </c>
      <c r="B54" s="4" t="s">
        <v>113</v>
      </c>
      <c r="C54" s="5" t="s">
        <v>114</v>
      </c>
      <c r="D54" s="4"/>
      <c r="E54" s="6" t="s">
        <v>101</v>
      </c>
      <c r="F54" s="4" t="s">
        <v>115</v>
      </c>
    </row>
    <row r="55" ht="12.75" customHeight="1">
      <c r="A55" s="4" t="s">
        <v>6</v>
      </c>
      <c r="B55" s="4" t="s">
        <v>116</v>
      </c>
      <c r="C55" s="5" t="s">
        <v>117</v>
      </c>
      <c r="D55" s="4"/>
      <c r="E55" s="6" t="s">
        <v>101</v>
      </c>
      <c r="F55" s="4" t="s">
        <v>115</v>
      </c>
    </row>
    <row r="56" ht="12.75" customHeight="1">
      <c r="A56" s="4" t="s">
        <v>6</v>
      </c>
      <c r="B56" s="4" t="s">
        <v>118</v>
      </c>
      <c r="C56" s="5" t="s">
        <v>119</v>
      </c>
      <c r="D56" s="4"/>
      <c r="E56" s="6" t="s">
        <v>101</v>
      </c>
      <c r="F56" s="4" t="s">
        <v>115</v>
      </c>
    </row>
    <row r="57" ht="12.75" customHeight="1">
      <c r="A57" s="4" t="s">
        <v>6</v>
      </c>
      <c r="B57" s="4" t="s">
        <v>20</v>
      </c>
      <c r="C57" s="5" t="s">
        <v>120</v>
      </c>
      <c r="D57" s="4"/>
      <c r="E57" s="6" t="s">
        <v>121</v>
      </c>
      <c r="F57" s="4" t="s">
        <v>122</v>
      </c>
    </row>
    <row r="58" ht="12.75" customHeight="1">
      <c r="A58" s="4" t="s">
        <v>6</v>
      </c>
      <c r="B58" s="4" t="s">
        <v>123</v>
      </c>
      <c r="C58" s="5" t="s">
        <v>124</v>
      </c>
      <c r="D58" s="4"/>
      <c r="E58" s="6" t="s">
        <v>121</v>
      </c>
      <c r="F58" s="4" t="s">
        <v>122</v>
      </c>
    </row>
    <row r="59" ht="12.75" customHeight="1">
      <c r="A59" s="4" t="s">
        <v>6</v>
      </c>
      <c r="B59" s="4" t="s">
        <v>125</v>
      </c>
      <c r="C59" s="5" t="s">
        <v>126</v>
      </c>
      <c r="D59" s="4"/>
      <c r="E59" s="6" t="s">
        <v>121</v>
      </c>
      <c r="F59" s="4" t="s">
        <v>127</v>
      </c>
    </row>
    <row r="60" ht="12.75" customHeight="1">
      <c r="A60" s="4" t="s">
        <v>6</v>
      </c>
      <c r="B60" s="4" t="s">
        <v>128</v>
      </c>
      <c r="C60" s="5" t="s">
        <v>129</v>
      </c>
      <c r="D60" s="4"/>
      <c r="E60" s="6" t="s">
        <v>130</v>
      </c>
      <c r="F60" s="4" t="s">
        <v>9</v>
      </c>
    </row>
    <row r="61" ht="12.75" customHeight="1">
      <c r="A61" s="4" t="s">
        <v>6</v>
      </c>
      <c r="B61" s="4" t="s">
        <v>131</v>
      </c>
      <c r="C61" s="5" t="s">
        <v>132</v>
      </c>
      <c r="D61" s="4"/>
      <c r="E61" s="6" t="s">
        <v>130</v>
      </c>
      <c r="F61" s="4" t="s">
        <v>9</v>
      </c>
    </row>
    <row r="62" ht="12.75" customHeight="1">
      <c r="A62" s="4" t="s">
        <v>6</v>
      </c>
      <c r="B62" s="4" t="s">
        <v>133</v>
      </c>
      <c r="C62" s="5" t="s">
        <v>134</v>
      </c>
      <c r="D62" s="4"/>
      <c r="E62" s="6" t="s">
        <v>130</v>
      </c>
      <c r="F62" s="4" t="s">
        <v>9</v>
      </c>
    </row>
    <row r="63" ht="12.75" customHeight="1">
      <c r="A63" s="4" t="s">
        <v>6</v>
      </c>
      <c r="B63" s="4" t="s">
        <v>135</v>
      </c>
      <c r="C63" s="5" t="s">
        <v>136</v>
      </c>
      <c r="D63" s="4"/>
      <c r="E63" s="6" t="s">
        <v>130</v>
      </c>
      <c r="F63" s="4" t="s">
        <v>9</v>
      </c>
    </row>
    <row r="64" ht="12.75" customHeight="1">
      <c r="A64" s="4" t="s">
        <v>6</v>
      </c>
      <c r="B64" s="4" t="s">
        <v>137</v>
      </c>
      <c r="C64" s="5" t="s">
        <v>138</v>
      </c>
      <c r="D64" s="4"/>
      <c r="E64" s="6" t="s">
        <v>130</v>
      </c>
      <c r="F64" s="4" t="s">
        <v>9</v>
      </c>
    </row>
    <row r="65" ht="12.75" customHeight="1">
      <c r="A65" s="4" t="s">
        <v>6</v>
      </c>
      <c r="B65" s="4" t="s">
        <v>139</v>
      </c>
      <c r="C65" s="5" t="s">
        <v>140</v>
      </c>
      <c r="D65" s="4"/>
      <c r="E65" s="6" t="s">
        <v>130</v>
      </c>
      <c r="F65" s="4" t="s">
        <v>9</v>
      </c>
    </row>
    <row r="66" ht="12.75" customHeight="1">
      <c r="A66" s="4" t="s">
        <v>6</v>
      </c>
      <c r="B66" s="4" t="s">
        <v>141</v>
      </c>
      <c r="C66" s="5" t="s">
        <v>142</v>
      </c>
      <c r="D66" s="4"/>
      <c r="E66" s="6" t="s">
        <v>130</v>
      </c>
      <c r="F66" s="4" t="s">
        <v>9</v>
      </c>
    </row>
    <row r="67" ht="12.75" customHeight="1">
      <c r="A67" s="4" t="s">
        <v>6</v>
      </c>
      <c r="B67" s="4" t="s">
        <v>143</v>
      </c>
      <c r="C67" s="5" t="s">
        <v>144</v>
      </c>
      <c r="D67" s="4"/>
      <c r="E67" s="6" t="s">
        <v>130</v>
      </c>
      <c r="F67" s="4" t="s">
        <v>9</v>
      </c>
    </row>
    <row r="68" ht="12.75" customHeight="1">
      <c r="A68" s="4" t="s">
        <v>6</v>
      </c>
      <c r="B68" s="4" t="s">
        <v>145</v>
      </c>
      <c r="C68" s="5" t="s">
        <v>146</v>
      </c>
      <c r="D68" s="4"/>
      <c r="E68" s="6" t="s">
        <v>147</v>
      </c>
      <c r="F68" s="4" t="s">
        <v>148</v>
      </c>
    </row>
    <row r="69" ht="12.75" customHeight="1">
      <c r="A69" s="4" t="s">
        <v>6</v>
      </c>
      <c r="B69" s="4" t="s">
        <v>149</v>
      </c>
      <c r="C69" s="5" t="s">
        <v>150</v>
      </c>
      <c r="D69" s="4"/>
      <c r="E69" s="6" t="s">
        <v>147</v>
      </c>
      <c r="F69" s="4" t="s">
        <v>148</v>
      </c>
    </row>
    <row r="70" ht="12.75" customHeight="1">
      <c r="A70" s="4" t="s">
        <v>6</v>
      </c>
      <c r="B70" s="4" t="s">
        <v>137</v>
      </c>
      <c r="C70" s="5" t="s">
        <v>151</v>
      </c>
      <c r="D70" s="4"/>
      <c r="E70" s="6" t="s">
        <v>147</v>
      </c>
      <c r="F70" s="4" t="s">
        <v>148</v>
      </c>
    </row>
    <row r="71" ht="12.75" customHeight="1">
      <c r="A71" s="4" t="s">
        <v>6</v>
      </c>
      <c r="B71" s="4" t="s">
        <v>152</v>
      </c>
      <c r="C71" s="5" t="s">
        <v>153</v>
      </c>
      <c r="D71" s="4"/>
      <c r="E71" s="6" t="s">
        <v>147</v>
      </c>
      <c r="F71" s="4" t="s">
        <v>148</v>
      </c>
    </row>
    <row r="72" ht="12.75" customHeight="1">
      <c r="A72" s="4" t="s">
        <v>6</v>
      </c>
      <c r="B72" s="4" t="s">
        <v>154</v>
      </c>
      <c r="C72" s="5" t="s">
        <v>155</v>
      </c>
      <c r="D72" s="4"/>
      <c r="E72" s="6" t="s">
        <v>147</v>
      </c>
      <c r="F72" s="4" t="s">
        <v>148</v>
      </c>
    </row>
    <row r="73" ht="12.75" customHeight="1">
      <c r="A73" s="4" t="s">
        <v>6</v>
      </c>
      <c r="B73" s="4" t="s">
        <v>14</v>
      </c>
      <c r="C73" s="5" t="s">
        <v>156</v>
      </c>
      <c r="D73" s="4"/>
      <c r="E73" s="6" t="s">
        <v>147</v>
      </c>
      <c r="F73" s="4" t="s">
        <v>148</v>
      </c>
    </row>
    <row r="74" ht="12.75" customHeight="1">
      <c r="A74" s="4" t="s">
        <v>6</v>
      </c>
      <c r="B74" s="4" t="s">
        <v>157</v>
      </c>
      <c r="C74" s="5" t="s">
        <v>158</v>
      </c>
      <c r="D74" s="4"/>
      <c r="E74" s="6" t="s">
        <v>147</v>
      </c>
      <c r="F74" s="4" t="s">
        <v>148</v>
      </c>
    </row>
    <row r="75" ht="12.75" customHeight="1">
      <c r="A75" s="4" t="s">
        <v>6</v>
      </c>
      <c r="B75" s="4" t="s">
        <v>17</v>
      </c>
      <c r="C75" s="5" t="s">
        <v>159</v>
      </c>
      <c r="D75" s="4"/>
      <c r="E75" s="6" t="s">
        <v>147</v>
      </c>
      <c r="F75" s="4" t="s">
        <v>148</v>
      </c>
    </row>
    <row r="76" ht="12.75" customHeight="1">
      <c r="A76" s="4" t="s">
        <v>6</v>
      </c>
      <c r="B76" s="4" t="s">
        <v>128</v>
      </c>
      <c r="C76" s="5" t="s">
        <v>129</v>
      </c>
      <c r="D76" s="4"/>
      <c r="E76" s="6" t="s">
        <v>160</v>
      </c>
      <c r="F76" s="4" t="s">
        <v>161</v>
      </c>
    </row>
    <row r="77" ht="12.75" customHeight="1">
      <c r="A77" s="4" t="s">
        <v>6</v>
      </c>
      <c r="B77" s="4" t="s">
        <v>131</v>
      </c>
      <c r="C77" s="5" t="s">
        <v>132</v>
      </c>
      <c r="D77" s="4"/>
      <c r="E77" s="6" t="s">
        <v>160</v>
      </c>
      <c r="F77" s="4" t="s">
        <v>161</v>
      </c>
    </row>
    <row r="78" ht="12.75" customHeight="1">
      <c r="A78" s="4" t="s">
        <v>6</v>
      </c>
      <c r="B78" s="4" t="s">
        <v>133</v>
      </c>
      <c r="C78" s="5" t="s">
        <v>134</v>
      </c>
      <c r="D78" s="4"/>
      <c r="E78" s="6" t="s">
        <v>160</v>
      </c>
      <c r="F78" s="4" t="s">
        <v>161</v>
      </c>
    </row>
    <row r="79" ht="12.75" customHeight="1">
      <c r="A79" s="4" t="s">
        <v>6</v>
      </c>
      <c r="B79" s="4" t="s">
        <v>135</v>
      </c>
      <c r="C79" s="5" t="s">
        <v>136</v>
      </c>
      <c r="D79" s="4"/>
      <c r="E79" s="6" t="s">
        <v>160</v>
      </c>
      <c r="F79" s="4" t="s">
        <v>161</v>
      </c>
    </row>
    <row r="80" ht="12.75" customHeight="1">
      <c r="A80" s="4" t="s">
        <v>6</v>
      </c>
      <c r="B80" s="4" t="s">
        <v>137</v>
      </c>
      <c r="C80" s="5" t="s">
        <v>138</v>
      </c>
      <c r="D80" s="4"/>
      <c r="E80" s="6" t="s">
        <v>160</v>
      </c>
      <c r="F80" s="4" t="s">
        <v>161</v>
      </c>
    </row>
    <row r="81" ht="12.75" customHeight="1">
      <c r="A81" s="4" t="s">
        <v>6</v>
      </c>
      <c r="B81" s="4" t="s">
        <v>139</v>
      </c>
      <c r="C81" s="5" t="s">
        <v>140</v>
      </c>
      <c r="D81" s="4"/>
      <c r="E81" s="6" t="s">
        <v>160</v>
      </c>
      <c r="F81" s="4" t="s">
        <v>161</v>
      </c>
    </row>
    <row r="82" ht="12.75" customHeight="1">
      <c r="A82" s="4" t="s">
        <v>6</v>
      </c>
      <c r="B82" s="4" t="s">
        <v>141</v>
      </c>
      <c r="C82" s="5" t="s">
        <v>142</v>
      </c>
      <c r="D82" s="4"/>
      <c r="E82" s="6" t="s">
        <v>160</v>
      </c>
      <c r="F82" s="4" t="s">
        <v>161</v>
      </c>
    </row>
    <row r="83" ht="12.75" customHeight="1">
      <c r="A83" s="4" t="s">
        <v>6</v>
      </c>
      <c r="B83" s="4" t="s">
        <v>143</v>
      </c>
      <c r="C83" s="5" t="s">
        <v>144</v>
      </c>
      <c r="D83" s="4"/>
      <c r="E83" s="6" t="s">
        <v>160</v>
      </c>
      <c r="F83" s="4" t="s">
        <v>161</v>
      </c>
    </row>
    <row r="84" ht="12.75" customHeight="1">
      <c r="A84" s="4" t="s">
        <v>6</v>
      </c>
      <c r="B84" s="4" t="s">
        <v>162</v>
      </c>
      <c r="C84" s="5" t="s">
        <v>163</v>
      </c>
      <c r="D84" s="4"/>
      <c r="E84" s="6" t="s">
        <v>164</v>
      </c>
      <c r="F84" s="4" t="s">
        <v>165</v>
      </c>
    </row>
    <row r="85" ht="12.75" customHeight="1">
      <c r="A85" s="4" t="s">
        <v>6</v>
      </c>
      <c r="B85" s="4" t="s">
        <v>17</v>
      </c>
      <c r="C85" s="5" t="s">
        <v>166</v>
      </c>
      <c r="D85" s="4"/>
      <c r="E85" s="6" t="s">
        <v>164</v>
      </c>
      <c r="F85" s="4" t="s">
        <v>165</v>
      </c>
    </row>
    <row r="86" ht="12.75" customHeight="1">
      <c r="A86" s="4" t="s">
        <v>6</v>
      </c>
      <c r="B86" s="4" t="s">
        <v>167</v>
      </c>
      <c r="C86" s="5" t="s">
        <v>168</v>
      </c>
      <c r="D86" s="4"/>
      <c r="E86" s="6" t="s">
        <v>164</v>
      </c>
      <c r="F86" s="4" t="s">
        <v>165</v>
      </c>
    </row>
    <row r="87" ht="12.75" customHeight="1">
      <c r="A87" s="4" t="s">
        <v>6</v>
      </c>
      <c r="B87" s="4" t="s">
        <v>169</v>
      </c>
      <c r="C87" s="5" t="s">
        <v>170</v>
      </c>
      <c r="D87" s="4"/>
      <c r="E87" s="6" t="s">
        <v>171</v>
      </c>
      <c r="F87" s="4" t="s">
        <v>172</v>
      </c>
    </row>
    <row r="88" ht="12.75" customHeight="1">
      <c r="A88" s="4" t="s">
        <v>6</v>
      </c>
      <c r="B88" s="4" t="s">
        <v>173</v>
      </c>
      <c r="C88" s="5" t="s">
        <v>166</v>
      </c>
      <c r="D88" s="4"/>
      <c r="E88" s="6" t="s">
        <v>171</v>
      </c>
      <c r="F88" s="4" t="s">
        <v>174</v>
      </c>
    </row>
    <row r="89" ht="12.75" customHeight="1">
      <c r="A89" s="4" t="s">
        <v>6</v>
      </c>
      <c r="B89" s="4" t="s">
        <v>167</v>
      </c>
      <c r="C89" s="5" t="s">
        <v>175</v>
      </c>
      <c r="D89" s="4"/>
      <c r="E89" s="6" t="s">
        <v>171</v>
      </c>
      <c r="F89" s="4" t="s">
        <v>172</v>
      </c>
    </row>
    <row r="90" ht="12.75" customHeight="1">
      <c r="A90" s="12"/>
      <c r="B90" s="12"/>
      <c r="E90" s="12"/>
    </row>
    <row r="91" ht="12.75" customHeight="1">
      <c r="A91" s="12"/>
      <c r="B91" s="12"/>
      <c r="E91" s="12"/>
    </row>
    <row r="92" ht="12.75" customHeight="1">
      <c r="A92" s="12"/>
      <c r="B92" s="12"/>
      <c r="E92" s="12"/>
    </row>
    <row r="93" ht="12.75" customHeight="1">
      <c r="A93" s="12"/>
      <c r="B93" s="12"/>
      <c r="E93" s="12"/>
    </row>
    <row r="94" ht="12.75" customHeight="1">
      <c r="A94" s="12"/>
      <c r="B94" s="12"/>
      <c r="E94" s="12"/>
    </row>
    <row r="95" ht="12.75" customHeight="1">
      <c r="A95" s="12"/>
      <c r="B95" s="12"/>
      <c r="E95" s="12"/>
    </row>
    <row r="96" ht="12.75" customHeight="1">
      <c r="A96" s="12"/>
      <c r="B96" s="12"/>
      <c r="E96" s="12"/>
    </row>
    <row r="97" ht="12.75" customHeight="1">
      <c r="A97" s="12"/>
      <c r="B97" s="12"/>
      <c r="E97" s="12"/>
    </row>
    <row r="98" ht="12.75" customHeight="1">
      <c r="A98" s="12"/>
      <c r="B98" s="12"/>
      <c r="E98" s="12"/>
    </row>
    <row r="99" ht="12.75" customHeight="1">
      <c r="A99" s="12"/>
      <c r="B99" s="12"/>
      <c r="E99" s="12"/>
    </row>
    <row r="100" ht="12.75" customHeight="1">
      <c r="A100" s="12"/>
      <c r="B100" s="12"/>
      <c r="E100" s="12"/>
    </row>
    <row r="101" ht="12.75" customHeight="1">
      <c r="A101" s="12"/>
      <c r="B101" s="12"/>
      <c r="E101" s="12"/>
    </row>
    <row r="102" ht="12.75" customHeight="1">
      <c r="A102" s="12"/>
      <c r="B102" s="12"/>
      <c r="E102" s="12"/>
    </row>
    <row r="103" ht="12.75" customHeight="1">
      <c r="A103" s="12"/>
      <c r="B103" s="12"/>
      <c r="E103" s="12"/>
    </row>
    <row r="104" ht="12.75" customHeight="1">
      <c r="A104" s="12"/>
      <c r="B104" s="12"/>
      <c r="E104" s="12"/>
    </row>
    <row r="105" ht="12.75" customHeight="1">
      <c r="A105" s="12"/>
      <c r="B105" s="12"/>
      <c r="E105" s="12"/>
    </row>
    <row r="106" ht="12.75" customHeight="1">
      <c r="A106" s="12"/>
      <c r="B106" s="12"/>
      <c r="E106" s="12"/>
    </row>
    <row r="107" ht="12.75" customHeight="1">
      <c r="A107" s="12"/>
      <c r="B107" s="12"/>
      <c r="E107" s="12"/>
    </row>
    <row r="108" ht="12.75" customHeight="1">
      <c r="A108" s="12"/>
      <c r="B108" s="12"/>
      <c r="E108" s="12"/>
    </row>
    <row r="109" ht="12.75" customHeight="1">
      <c r="A109" s="12"/>
      <c r="B109" s="12"/>
      <c r="E109" s="12"/>
    </row>
    <row r="110" ht="12.75" customHeight="1">
      <c r="A110" s="12"/>
      <c r="B110" s="12"/>
      <c r="E110" s="12"/>
    </row>
    <row r="111" ht="12.75" customHeight="1">
      <c r="A111" s="12"/>
      <c r="B111" s="12"/>
      <c r="E111" s="12"/>
    </row>
    <row r="112" ht="12.75" customHeight="1">
      <c r="A112" s="12"/>
      <c r="B112" s="12"/>
      <c r="E112" s="12"/>
    </row>
    <row r="113" ht="12.75" customHeight="1">
      <c r="A113" s="12"/>
      <c r="B113" s="12"/>
      <c r="E113" s="12"/>
    </row>
    <row r="114" ht="12.75" customHeight="1">
      <c r="A114" s="12"/>
      <c r="B114" s="12"/>
      <c r="E114" s="12"/>
    </row>
    <row r="115" ht="12.75" customHeight="1">
      <c r="A115" s="12"/>
      <c r="B115" s="12"/>
      <c r="E115" s="12"/>
    </row>
    <row r="116" ht="12.75" customHeight="1">
      <c r="A116" s="12"/>
      <c r="B116" s="12"/>
      <c r="E116" s="12"/>
    </row>
    <row r="117" ht="12.75" customHeight="1">
      <c r="A117" s="12"/>
      <c r="B117" s="12"/>
      <c r="E117" s="12"/>
    </row>
    <row r="118" ht="12.75" customHeight="1">
      <c r="A118" s="12"/>
      <c r="B118" s="12"/>
      <c r="E118" s="12"/>
    </row>
    <row r="119" ht="12.75" customHeight="1">
      <c r="A119" s="12"/>
      <c r="B119" s="12"/>
      <c r="E119" s="12"/>
    </row>
    <row r="120" ht="12.75" customHeight="1">
      <c r="A120" s="12"/>
      <c r="B120" s="12"/>
      <c r="E120" s="12"/>
    </row>
    <row r="121" ht="12.75" customHeight="1">
      <c r="A121" s="12"/>
      <c r="B121" s="12"/>
      <c r="E121" s="12"/>
    </row>
    <row r="122" ht="12.75" customHeight="1">
      <c r="A122" s="12"/>
      <c r="B122" s="12"/>
      <c r="E122" s="12"/>
    </row>
    <row r="123" ht="12.75" customHeight="1">
      <c r="A123" s="12"/>
      <c r="B123" s="12"/>
      <c r="E123" s="12"/>
    </row>
    <row r="124" ht="12.75" customHeight="1">
      <c r="A124" s="12"/>
      <c r="B124" s="12"/>
      <c r="E124" s="12"/>
    </row>
    <row r="125" ht="12.75" customHeight="1">
      <c r="A125" s="12"/>
      <c r="B125" s="12"/>
      <c r="E125" s="12"/>
    </row>
    <row r="126" ht="12.75" customHeight="1">
      <c r="A126" s="12"/>
      <c r="B126" s="12"/>
      <c r="E126" s="12"/>
    </row>
    <row r="127" ht="12.75" customHeight="1">
      <c r="A127" s="12"/>
      <c r="B127" s="12"/>
      <c r="E127" s="12"/>
    </row>
    <row r="128" ht="12.75" customHeight="1">
      <c r="A128" s="12"/>
      <c r="B128" s="12"/>
      <c r="E128" s="12"/>
    </row>
    <row r="129" ht="12.75" customHeight="1">
      <c r="A129" s="12"/>
      <c r="B129" s="12"/>
      <c r="E129" s="12"/>
    </row>
    <row r="130" ht="12.75" customHeight="1">
      <c r="A130" s="12"/>
      <c r="B130" s="12"/>
      <c r="E130" s="12"/>
    </row>
    <row r="131" ht="12.75" customHeight="1">
      <c r="A131" s="12"/>
      <c r="B131" s="12"/>
      <c r="E131" s="12"/>
    </row>
    <row r="132" ht="12.75" customHeight="1">
      <c r="A132" s="12"/>
      <c r="B132" s="12"/>
      <c r="E132" s="12"/>
    </row>
    <row r="133" ht="12.75" customHeight="1">
      <c r="A133" s="12"/>
      <c r="B133" s="12"/>
      <c r="E133" s="12"/>
    </row>
    <row r="134" ht="12.75" customHeight="1">
      <c r="A134" s="12"/>
      <c r="B134" s="12"/>
      <c r="E134" s="12"/>
    </row>
    <row r="135" ht="12.75" customHeight="1">
      <c r="A135" s="12"/>
      <c r="B135" s="12"/>
      <c r="E135" s="12"/>
    </row>
    <row r="136" ht="12.75" customHeight="1">
      <c r="A136" s="12"/>
      <c r="B136" s="12"/>
      <c r="E136" s="12"/>
    </row>
    <row r="137" ht="12.75" customHeight="1">
      <c r="A137" s="12"/>
      <c r="B137" s="12"/>
      <c r="E137" s="12"/>
    </row>
    <row r="138" ht="12.75" customHeight="1">
      <c r="A138" s="12"/>
      <c r="B138" s="12"/>
      <c r="E138" s="12"/>
    </row>
    <row r="139" ht="12.75" customHeight="1">
      <c r="A139" s="12"/>
      <c r="B139" s="12"/>
      <c r="E139" s="12"/>
    </row>
    <row r="140" ht="12.75" customHeight="1">
      <c r="A140" s="12"/>
      <c r="B140" s="12"/>
      <c r="E140" s="12"/>
    </row>
    <row r="141" ht="12.75" customHeight="1">
      <c r="A141" s="12"/>
      <c r="B141" s="12"/>
      <c r="E141" s="12"/>
    </row>
    <row r="142" ht="12.75" customHeight="1">
      <c r="A142" s="12"/>
      <c r="B142" s="12"/>
      <c r="E142" s="12"/>
    </row>
    <row r="143" ht="12.75" customHeight="1">
      <c r="A143" s="12"/>
      <c r="B143" s="12"/>
      <c r="E143" s="12"/>
    </row>
    <row r="144" ht="12.75" customHeight="1">
      <c r="A144" s="12"/>
      <c r="B144" s="12"/>
      <c r="E144" s="12"/>
    </row>
    <row r="145" ht="12.75" customHeight="1">
      <c r="A145" s="12"/>
      <c r="B145" s="12"/>
      <c r="E145" s="12"/>
    </row>
    <row r="146" ht="12.75" customHeight="1">
      <c r="A146" s="12"/>
      <c r="B146" s="12"/>
      <c r="E146" s="12"/>
    </row>
    <row r="147" ht="12.75" customHeight="1">
      <c r="A147" s="12"/>
      <c r="B147" s="12"/>
      <c r="E147" s="12"/>
    </row>
    <row r="148" ht="12.75" customHeight="1">
      <c r="A148" s="12"/>
      <c r="B148" s="12"/>
      <c r="E148" s="12"/>
    </row>
    <row r="149" ht="12.75" customHeight="1">
      <c r="A149" s="12"/>
      <c r="B149" s="12"/>
      <c r="E149" s="12"/>
    </row>
    <row r="150" ht="12.75" customHeight="1">
      <c r="A150" s="12"/>
      <c r="B150" s="12"/>
      <c r="E150" s="12"/>
    </row>
    <row r="151" ht="12.75" customHeight="1">
      <c r="A151" s="12"/>
      <c r="B151" s="12"/>
      <c r="E151" s="12"/>
    </row>
    <row r="152" ht="12.75" customHeight="1">
      <c r="A152" s="12"/>
      <c r="B152" s="12"/>
      <c r="E152" s="12"/>
    </row>
    <row r="153" ht="12.75" customHeight="1">
      <c r="A153" s="12"/>
      <c r="B153" s="12"/>
      <c r="E153" s="12"/>
    </row>
    <row r="154" ht="12.75" customHeight="1">
      <c r="A154" s="12"/>
      <c r="B154" s="12"/>
      <c r="E154" s="12"/>
    </row>
    <row r="155" ht="12.75" customHeight="1">
      <c r="A155" s="12"/>
      <c r="B155" s="12"/>
      <c r="E155" s="12"/>
    </row>
    <row r="156" ht="12.75" customHeight="1">
      <c r="A156" s="12"/>
      <c r="B156" s="12"/>
      <c r="E156" s="12"/>
    </row>
    <row r="157" ht="12.75" customHeight="1">
      <c r="A157" s="12"/>
      <c r="B157" s="12"/>
      <c r="E157" s="12"/>
    </row>
    <row r="158" ht="12.75" customHeight="1">
      <c r="A158" s="12"/>
      <c r="B158" s="12"/>
      <c r="E158" s="12"/>
    </row>
    <row r="159" ht="12.75" customHeight="1">
      <c r="A159" s="12"/>
      <c r="B159" s="12"/>
      <c r="E159" s="12"/>
    </row>
    <row r="160" ht="12.75" customHeight="1">
      <c r="A160" s="12"/>
      <c r="B160" s="12"/>
      <c r="E160" s="12"/>
    </row>
    <row r="161" ht="12.75" customHeight="1">
      <c r="A161" s="12"/>
      <c r="B161" s="12"/>
      <c r="E161" s="12"/>
    </row>
    <row r="162" ht="12.75" customHeight="1">
      <c r="A162" s="12"/>
      <c r="B162" s="12"/>
      <c r="E162" s="12"/>
    </row>
    <row r="163" ht="12.75" customHeight="1">
      <c r="A163" s="12"/>
      <c r="B163" s="12"/>
      <c r="E163" s="12"/>
    </row>
    <row r="164" ht="12.75" customHeight="1">
      <c r="A164" s="12"/>
      <c r="B164" s="12"/>
      <c r="E164" s="12"/>
    </row>
    <row r="165" ht="12.75" customHeight="1">
      <c r="A165" s="12"/>
      <c r="B165" s="12"/>
      <c r="E165" s="12"/>
    </row>
    <row r="166" ht="12.75" customHeight="1">
      <c r="A166" s="12"/>
      <c r="B166" s="12"/>
      <c r="E166" s="12"/>
    </row>
    <row r="167" ht="12.75" customHeight="1">
      <c r="A167" s="12"/>
      <c r="B167" s="12"/>
      <c r="E167" s="12"/>
    </row>
    <row r="168" ht="12.75" customHeight="1">
      <c r="A168" s="12"/>
      <c r="B168" s="12"/>
      <c r="E168" s="12"/>
    </row>
    <row r="169" ht="12.75" customHeight="1">
      <c r="A169" s="12"/>
      <c r="B169" s="12"/>
      <c r="E169" s="12"/>
    </row>
    <row r="170" ht="12.75" customHeight="1">
      <c r="A170" s="12"/>
      <c r="B170" s="12"/>
      <c r="E170" s="12"/>
    </row>
    <row r="171" ht="12.75" customHeight="1">
      <c r="A171" s="12"/>
      <c r="B171" s="12"/>
      <c r="E171" s="12"/>
    </row>
    <row r="172" ht="12.75" customHeight="1">
      <c r="A172" s="12"/>
      <c r="B172" s="12"/>
      <c r="E172" s="12"/>
    </row>
    <row r="173" ht="12.75" customHeight="1">
      <c r="A173" s="12"/>
      <c r="B173" s="12"/>
      <c r="E173" s="12"/>
    </row>
    <row r="174" ht="12.75" customHeight="1">
      <c r="A174" s="12"/>
      <c r="B174" s="12"/>
      <c r="E174" s="12"/>
    </row>
    <row r="175" ht="12.75" customHeight="1">
      <c r="A175" s="12"/>
      <c r="B175" s="12"/>
      <c r="E175" s="12"/>
    </row>
    <row r="176" ht="12.75" customHeight="1">
      <c r="A176" s="12"/>
      <c r="B176" s="12"/>
      <c r="E176" s="12"/>
    </row>
    <row r="177" ht="12.75" customHeight="1">
      <c r="A177" s="12"/>
      <c r="B177" s="12"/>
      <c r="E177" s="12"/>
    </row>
    <row r="178" ht="12.75" customHeight="1">
      <c r="A178" s="12"/>
      <c r="B178" s="12"/>
      <c r="E178" s="12"/>
    </row>
    <row r="179" ht="12.75" customHeight="1">
      <c r="A179" s="12"/>
      <c r="B179" s="12"/>
      <c r="E179" s="12"/>
    </row>
    <row r="180" ht="12.75" customHeight="1">
      <c r="A180" s="12"/>
      <c r="B180" s="12"/>
      <c r="E180" s="12"/>
    </row>
    <row r="181" ht="12.75" customHeight="1">
      <c r="A181" s="12"/>
      <c r="B181" s="12"/>
      <c r="E181" s="12"/>
    </row>
    <row r="182" ht="12.75" customHeight="1">
      <c r="A182" s="12"/>
      <c r="B182" s="12"/>
      <c r="E182" s="12"/>
    </row>
    <row r="183" ht="12.75" customHeight="1">
      <c r="A183" s="12"/>
      <c r="B183" s="12"/>
      <c r="E183" s="12"/>
    </row>
    <row r="184" ht="12.75" customHeight="1">
      <c r="A184" s="12"/>
      <c r="B184" s="12"/>
      <c r="E184" s="12"/>
    </row>
    <row r="185" ht="12.75" customHeight="1">
      <c r="A185" s="12"/>
      <c r="B185" s="12"/>
      <c r="E185" s="12"/>
    </row>
    <row r="186" ht="12.75" customHeight="1">
      <c r="A186" s="12"/>
      <c r="B186" s="12"/>
      <c r="E186" s="12"/>
    </row>
    <row r="187" ht="12.75" customHeight="1">
      <c r="A187" s="12"/>
      <c r="B187" s="12"/>
      <c r="E187" s="12"/>
    </row>
    <row r="188" ht="12.75" customHeight="1">
      <c r="A188" s="12"/>
      <c r="B188" s="12"/>
      <c r="E188" s="12"/>
    </row>
    <row r="189" ht="12.75" customHeight="1">
      <c r="A189" s="12"/>
      <c r="B189" s="12"/>
      <c r="E189" s="12"/>
    </row>
    <row r="190" ht="12.75" customHeight="1">
      <c r="A190" s="12"/>
      <c r="B190" s="12"/>
      <c r="E190" s="12"/>
    </row>
    <row r="191" ht="12.75" customHeight="1">
      <c r="A191" s="12"/>
      <c r="B191" s="12"/>
      <c r="E191" s="12"/>
    </row>
    <row r="192" ht="12.75" customHeight="1">
      <c r="A192" s="12"/>
      <c r="B192" s="12"/>
      <c r="E192" s="12"/>
    </row>
    <row r="193" ht="12.75" customHeight="1">
      <c r="A193" s="12"/>
      <c r="B193" s="12"/>
      <c r="E193" s="12"/>
    </row>
    <row r="194" ht="12.75" customHeight="1">
      <c r="A194" s="12"/>
      <c r="B194" s="12"/>
      <c r="E194" s="12"/>
    </row>
    <row r="195" ht="12.75" customHeight="1">
      <c r="A195" s="12"/>
      <c r="B195" s="12"/>
      <c r="E195" s="12"/>
    </row>
    <row r="196" ht="12.75" customHeight="1">
      <c r="A196" s="12"/>
      <c r="B196" s="12"/>
      <c r="E196" s="12"/>
    </row>
    <row r="197" ht="12.75" customHeight="1">
      <c r="A197" s="12"/>
      <c r="B197" s="12"/>
      <c r="E197" s="12"/>
    </row>
    <row r="198" ht="12.75" customHeight="1">
      <c r="A198" s="12"/>
      <c r="B198" s="12"/>
      <c r="E198" s="12"/>
    </row>
    <row r="199" ht="12.75" customHeight="1">
      <c r="A199" s="12"/>
      <c r="B199" s="12"/>
      <c r="E199" s="12"/>
    </row>
    <row r="200" ht="12.75" customHeight="1">
      <c r="A200" s="12"/>
      <c r="B200" s="12"/>
      <c r="E200" s="12"/>
    </row>
    <row r="201" ht="12.75" customHeight="1">
      <c r="A201" s="12"/>
      <c r="B201" s="12"/>
      <c r="E201" s="12"/>
    </row>
    <row r="202" ht="12.75" customHeight="1">
      <c r="A202" s="12"/>
      <c r="B202" s="12"/>
      <c r="E202" s="12"/>
    </row>
    <row r="203" ht="12.75" customHeight="1">
      <c r="A203" s="12"/>
      <c r="B203" s="12"/>
      <c r="E203" s="12"/>
    </row>
    <row r="204" ht="12.75" customHeight="1">
      <c r="A204" s="12"/>
      <c r="B204" s="12"/>
      <c r="E204" s="12"/>
    </row>
    <row r="205" ht="12.75" customHeight="1">
      <c r="A205" s="12"/>
      <c r="B205" s="12"/>
      <c r="E205" s="12"/>
    </row>
    <row r="206" ht="12.75" customHeight="1">
      <c r="A206" s="12"/>
      <c r="B206" s="12"/>
      <c r="E206" s="12"/>
    </row>
    <row r="207" ht="12.75" customHeight="1">
      <c r="A207" s="12"/>
      <c r="B207" s="12"/>
      <c r="E207" s="12"/>
    </row>
    <row r="208" ht="12.75" customHeight="1">
      <c r="A208" s="12"/>
      <c r="B208" s="12"/>
      <c r="E208" s="12"/>
    </row>
    <row r="209" ht="12.75" customHeight="1">
      <c r="A209" s="12"/>
      <c r="B209" s="12"/>
      <c r="E209" s="12"/>
    </row>
    <row r="210" ht="12.75" customHeight="1">
      <c r="A210" s="12"/>
      <c r="B210" s="12"/>
      <c r="E210" s="12"/>
    </row>
    <row r="211" ht="12.75" customHeight="1">
      <c r="A211" s="12"/>
      <c r="B211" s="12"/>
      <c r="E211" s="12"/>
    </row>
    <row r="212" ht="12.75" customHeight="1">
      <c r="A212" s="12"/>
      <c r="B212" s="12"/>
      <c r="E212" s="12"/>
    </row>
    <row r="213" ht="12.75" customHeight="1">
      <c r="A213" s="12"/>
      <c r="B213" s="12"/>
      <c r="E213" s="12"/>
    </row>
    <row r="214" ht="12.75" customHeight="1">
      <c r="A214" s="12"/>
      <c r="B214" s="12"/>
      <c r="E214" s="12"/>
    </row>
    <row r="215" ht="12.75" customHeight="1">
      <c r="A215" s="12"/>
      <c r="B215" s="12"/>
      <c r="E215" s="12"/>
    </row>
    <row r="216" ht="12.75" customHeight="1">
      <c r="A216" s="12"/>
      <c r="B216" s="12"/>
      <c r="E216" s="12"/>
    </row>
    <row r="217" ht="12.75" customHeight="1">
      <c r="A217" s="12"/>
      <c r="B217" s="12"/>
      <c r="E217" s="12"/>
    </row>
    <row r="218" ht="12.75" customHeight="1">
      <c r="A218" s="12"/>
      <c r="B218" s="12"/>
      <c r="E218" s="12"/>
    </row>
    <row r="219" ht="12.75" customHeight="1">
      <c r="A219" s="12"/>
      <c r="B219" s="12"/>
      <c r="E219" s="12"/>
    </row>
    <row r="220" ht="12.75" customHeight="1">
      <c r="A220" s="12"/>
      <c r="B220" s="12"/>
      <c r="E220" s="12"/>
    </row>
    <row r="221" ht="12.75" customHeight="1">
      <c r="A221" s="12"/>
      <c r="B221" s="12"/>
      <c r="E221" s="12"/>
    </row>
    <row r="222" ht="12.75" customHeight="1">
      <c r="A222" s="12"/>
      <c r="B222" s="12"/>
      <c r="E222" s="12"/>
    </row>
    <row r="223" ht="12.75" customHeight="1">
      <c r="A223" s="12"/>
      <c r="B223" s="12"/>
      <c r="E223" s="12"/>
    </row>
    <row r="224" ht="12.75" customHeight="1">
      <c r="A224" s="12"/>
      <c r="B224" s="12"/>
      <c r="E224" s="12"/>
    </row>
    <row r="225" ht="12.75" customHeight="1">
      <c r="A225" s="12"/>
      <c r="B225" s="12"/>
      <c r="E225" s="12"/>
    </row>
    <row r="226" ht="12.75" customHeight="1">
      <c r="A226" s="12"/>
      <c r="B226" s="12"/>
      <c r="E226" s="12"/>
    </row>
    <row r="227" ht="12.75" customHeight="1">
      <c r="A227" s="12"/>
      <c r="B227" s="12"/>
      <c r="E227" s="12"/>
    </row>
    <row r="228" ht="12.75" customHeight="1">
      <c r="A228" s="12"/>
      <c r="B228" s="12"/>
      <c r="E228" s="12"/>
    </row>
    <row r="229" ht="12.75" customHeight="1">
      <c r="A229" s="12"/>
      <c r="B229" s="12"/>
      <c r="E229" s="12"/>
    </row>
    <row r="230" ht="12.75" customHeight="1">
      <c r="A230" s="12"/>
      <c r="B230" s="12"/>
      <c r="E230" s="12"/>
    </row>
    <row r="231" ht="12.75" customHeight="1">
      <c r="A231" s="12"/>
      <c r="B231" s="12"/>
      <c r="E231" s="12"/>
    </row>
    <row r="232" ht="12.75" customHeight="1">
      <c r="A232" s="12"/>
      <c r="B232" s="12"/>
      <c r="E232" s="12"/>
    </row>
    <row r="233" ht="12.75" customHeight="1">
      <c r="A233" s="12"/>
      <c r="B233" s="12"/>
      <c r="E233" s="12"/>
    </row>
    <row r="234" ht="12.75" customHeight="1">
      <c r="A234" s="12"/>
      <c r="B234" s="12"/>
      <c r="E234" s="12"/>
    </row>
    <row r="235" ht="12.75" customHeight="1">
      <c r="A235" s="12"/>
      <c r="B235" s="12"/>
      <c r="E235" s="12"/>
    </row>
    <row r="236" ht="12.75" customHeight="1">
      <c r="A236" s="12"/>
      <c r="B236" s="12"/>
      <c r="E236" s="12"/>
    </row>
    <row r="237" ht="12.75" customHeight="1">
      <c r="A237" s="12"/>
      <c r="B237" s="12"/>
      <c r="E237" s="12"/>
    </row>
    <row r="238" ht="12.75" customHeight="1">
      <c r="A238" s="12"/>
      <c r="B238" s="12"/>
      <c r="E238" s="12"/>
    </row>
    <row r="239" ht="12.75" customHeight="1">
      <c r="A239" s="12"/>
      <c r="B239" s="12"/>
      <c r="E239" s="12"/>
    </row>
    <row r="240" ht="12.75" customHeight="1">
      <c r="A240" s="12"/>
      <c r="B240" s="12"/>
      <c r="E240" s="12"/>
    </row>
    <row r="241" ht="12.75" customHeight="1">
      <c r="A241" s="12"/>
      <c r="B241" s="12"/>
      <c r="E241" s="12"/>
    </row>
    <row r="242" ht="12.75" customHeight="1">
      <c r="A242" s="12"/>
      <c r="B242" s="12"/>
      <c r="E242" s="12"/>
    </row>
    <row r="243" ht="12.75" customHeight="1">
      <c r="A243" s="12"/>
      <c r="B243" s="12"/>
      <c r="E243" s="12"/>
    </row>
    <row r="244" ht="12.75" customHeight="1">
      <c r="A244" s="12"/>
      <c r="B244" s="12"/>
      <c r="E244" s="12"/>
    </row>
    <row r="245" ht="12.75" customHeight="1">
      <c r="A245" s="12"/>
      <c r="B245" s="12"/>
      <c r="E245" s="12"/>
    </row>
    <row r="246" ht="12.75" customHeight="1">
      <c r="A246" s="12"/>
      <c r="B246" s="12"/>
      <c r="E246" s="12"/>
    </row>
    <row r="247" ht="12.75" customHeight="1">
      <c r="A247" s="12"/>
      <c r="B247" s="12"/>
      <c r="E247" s="12"/>
    </row>
    <row r="248" ht="12.75" customHeight="1">
      <c r="A248" s="12"/>
      <c r="B248" s="12"/>
      <c r="E248" s="12"/>
    </row>
    <row r="249" ht="12.75" customHeight="1">
      <c r="A249" s="12"/>
      <c r="B249" s="12"/>
      <c r="E249" s="12"/>
    </row>
    <row r="250" ht="12.75" customHeight="1">
      <c r="A250" s="12"/>
      <c r="B250" s="12"/>
      <c r="E250" s="12"/>
    </row>
    <row r="251" ht="12.75" customHeight="1">
      <c r="A251" s="12"/>
      <c r="B251" s="12"/>
      <c r="E251" s="12"/>
    </row>
    <row r="252" ht="12.75" customHeight="1">
      <c r="A252" s="12"/>
      <c r="B252" s="12"/>
      <c r="E252" s="12"/>
    </row>
    <row r="253" ht="12.75" customHeight="1">
      <c r="A253" s="12"/>
      <c r="B253" s="12"/>
      <c r="E253" s="12"/>
    </row>
    <row r="254" ht="12.75" customHeight="1">
      <c r="A254" s="12"/>
      <c r="B254" s="12"/>
      <c r="E254" s="12"/>
    </row>
    <row r="255" ht="12.75" customHeight="1">
      <c r="A255" s="12"/>
      <c r="B255" s="12"/>
      <c r="E255" s="12"/>
    </row>
    <row r="256" ht="12.75" customHeight="1">
      <c r="A256" s="12"/>
      <c r="B256" s="12"/>
      <c r="E256" s="12"/>
    </row>
    <row r="257" ht="12.75" customHeight="1">
      <c r="A257" s="12"/>
      <c r="B257" s="12"/>
      <c r="E257" s="12"/>
    </row>
    <row r="258" ht="12.75" customHeight="1">
      <c r="A258" s="12"/>
      <c r="B258" s="12"/>
      <c r="E258" s="12"/>
    </row>
    <row r="259" ht="12.75" customHeight="1">
      <c r="A259" s="12"/>
      <c r="B259" s="12"/>
      <c r="E259" s="12"/>
    </row>
    <row r="260" ht="12.75" customHeight="1">
      <c r="A260" s="12"/>
      <c r="B260" s="12"/>
      <c r="E260" s="12"/>
    </row>
    <row r="261" ht="12.75" customHeight="1">
      <c r="A261" s="12"/>
      <c r="B261" s="12"/>
      <c r="E261" s="12"/>
    </row>
    <row r="262" ht="12.75" customHeight="1">
      <c r="A262" s="12"/>
      <c r="B262" s="12"/>
      <c r="E262" s="12"/>
    </row>
    <row r="263" ht="12.75" customHeight="1">
      <c r="A263" s="12"/>
      <c r="B263" s="12"/>
      <c r="E263" s="12"/>
    </row>
    <row r="264" ht="12.75" customHeight="1">
      <c r="A264" s="12"/>
      <c r="B264" s="12"/>
      <c r="E264" s="12"/>
    </row>
    <row r="265" ht="12.75" customHeight="1">
      <c r="A265" s="12"/>
      <c r="B265" s="12"/>
      <c r="E265" s="12"/>
    </row>
    <row r="266" ht="12.75" customHeight="1">
      <c r="A266" s="12"/>
      <c r="B266" s="12"/>
      <c r="E266" s="12"/>
    </row>
    <row r="267" ht="12.75" customHeight="1">
      <c r="A267" s="12"/>
      <c r="B267" s="12"/>
      <c r="E267" s="12"/>
    </row>
    <row r="268" ht="12.75" customHeight="1">
      <c r="A268" s="12"/>
      <c r="B268" s="12"/>
      <c r="E268" s="12"/>
    </row>
    <row r="269" ht="12.75" customHeight="1">
      <c r="A269" s="12"/>
      <c r="B269" s="12"/>
      <c r="E269" s="12"/>
    </row>
    <row r="270" ht="12.75" customHeight="1">
      <c r="A270" s="12"/>
      <c r="B270" s="12"/>
      <c r="E270" s="12"/>
    </row>
    <row r="271" ht="12.75" customHeight="1">
      <c r="A271" s="12"/>
      <c r="B271" s="12"/>
      <c r="E271" s="12"/>
    </row>
    <row r="272" ht="12.75" customHeight="1">
      <c r="A272" s="12"/>
      <c r="B272" s="12"/>
      <c r="E272" s="12"/>
    </row>
    <row r="273" ht="12.75" customHeight="1">
      <c r="A273" s="12"/>
      <c r="B273" s="12"/>
      <c r="E273" s="12"/>
    </row>
    <row r="274" ht="12.75" customHeight="1">
      <c r="A274" s="12"/>
      <c r="B274" s="12"/>
      <c r="E274" s="12"/>
    </row>
    <row r="275" ht="12.75" customHeight="1">
      <c r="A275" s="12"/>
      <c r="B275" s="12"/>
      <c r="E275" s="12"/>
    </row>
    <row r="276" ht="12.75" customHeight="1">
      <c r="A276" s="12"/>
      <c r="B276" s="12"/>
      <c r="E276" s="12"/>
    </row>
    <row r="277" ht="12.75" customHeight="1">
      <c r="A277" s="12"/>
      <c r="B277" s="12"/>
      <c r="E277" s="12"/>
    </row>
    <row r="278" ht="12.75" customHeight="1">
      <c r="A278" s="12"/>
      <c r="B278" s="12"/>
      <c r="E278" s="12"/>
    </row>
    <row r="279" ht="12.75" customHeight="1">
      <c r="A279" s="12"/>
      <c r="B279" s="12"/>
      <c r="E279" s="12"/>
    </row>
    <row r="280" ht="12.75" customHeight="1">
      <c r="A280" s="12"/>
      <c r="B280" s="12"/>
      <c r="E280" s="12"/>
    </row>
    <row r="281" ht="12.75" customHeight="1">
      <c r="A281" s="12"/>
      <c r="B281" s="12"/>
      <c r="E281" s="12"/>
    </row>
    <row r="282" ht="12.75" customHeight="1">
      <c r="A282" s="12"/>
      <c r="B282" s="12"/>
      <c r="E282" s="12"/>
    </row>
    <row r="283" ht="12.75" customHeight="1">
      <c r="A283" s="12"/>
      <c r="B283" s="12"/>
      <c r="E283" s="12"/>
    </row>
    <row r="284" ht="12.75" customHeight="1">
      <c r="A284" s="12"/>
      <c r="B284" s="12"/>
      <c r="E284" s="12"/>
    </row>
    <row r="285" ht="12.75" customHeight="1">
      <c r="A285" s="12"/>
      <c r="B285" s="12"/>
      <c r="E285" s="12"/>
    </row>
    <row r="286" ht="12.75" customHeight="1">
      <c r="A286" s="12"/>
      <c r="B286" s="12"/>
      <c r="E286" s="12"/>
    </row>
    <row r="287" ht="12.75" customHeight="1">
      <c r="A287" s="12"/>
      <c r="B287" s="12"/>
      <c r="E287" s="12"/>
    </row>
    <row r="288" ht="12.75" customHeight="1">
      <c r="A288" s="12"/>
      <c r="B288" s="12"/>
      <c r="E288" s="12"/>
    </row>
    <row r="289" ht="12.75" customHeight="1">
      <c r="A289" s="12"/>
      <c r="B289" s="12"/>
      <c r="E289" s="12"/>
    </row>
    <row r="290" ht="12.75" customHeight="1">
      <c r="A290" s="11"/>
    </row>
    <row r="291" ht="12.75" customHeight="1">
      <c r="A291" s="11"/>
    </row>
    <row r="292" ht="12.75" customHeight="1">
      <c r="A292" s="11"/>
    </row>
    <row r="293" ht="12.75" customHeight="1">
      <c r="A293" s="11"/>
    </row>
    <row r="294" ht="12.75" customHeight="1">
      <c r="A294" s="11"/>
    </row>
    <row r="295" ht="12.75" customHeight="1">
      <c r="A295" s="11"/>
    </row>
    <row r="296" ht="12.75" customHeight="1">
      <c r="A296" s="11"/>
    </row>
    <row r="297" ht="12.75" customHeight="1">
      <c r="A297" s="11"/>
    </row>
    <row r="298" ht="12.75" customHeight="1">
      <c r="A298" s="11"/>
    </row>
    <row r="299" ht="12.75" customHeight="1">
      <c r="A299" s="11"/>
    </row>
    <row r="300" ht="12.75" customHeight="1">
      <c r="A300" s="11"/>
    </row>
    <row r="301" ht="12.75" customHeight="1">
      <c r="A301" s="11"/>
    </row>
    <row r="302" ht="12.75" customHeight="1">
      <c r="A302" s="11"/>
    </row>
    <row r="303" ht="12.75" customHeight="1">
      <c r="A303" s="11"/>
    </row>
    <row r="304" ht="12.75" customHeight="1">
      <c r="A304" s="11"/>
    </row>
    <row r="305" ht="12.75" customHeight="1">
      <c r="A305" s="11"/>
    </row>
    <row r="306" ht="12.75" customHeight="1">
      <c r="A306" s="11"/>
    </row>
    <row r="307" ht="12.75" customHeight="1">
      <c r="A307" s="11"/>
    </row>
    <row r="308" ht="12.75" customHeight="1">
      <c r="A308" s="11"/>
    </row>
    <row r="309" ht="12.75" customHeight="1">
      <c r="A309" s="11"/>
    </row>
    <row r="310" ht="12.75" customHeight="1">
      <c r="A310" s="11"/>
    </row>
    <row r="311" ht="12.75" customHeight="1">
      <c r="A311" s="11"/>
    </row>
    <row r="312" ht="12.75" customHeight="1">
      <c r="A312" s="11"/>
    </row>
    <row r="313" ht="12.75" customHeight="1">
      <c r="A313" s="11"/>
    </row>
    <row r="314" ht="12.75" customHeight="1">
      <c r="A314" s="11"/>
    </row>
    <row r="315" ht="12.75" customHeight="1">
      <c r="A315" s="11"/>
    </row>
    <row r="316" ht="12.75" customHeight="1">
      <c r="A316" s="11"/>
    </row>
    <row r="317" ht="12.75" customHeight="1">
      <c r="A317" s="11"/>
    </row>
    <row r="318" ht="12.75" customHeight="1">
      <c r="A318" s="11"/>
    </row>
    <row r="319" ht="12.75" customHeight="1">
      <c r="A319" s="11"/>
    </row>
    <row r="320" ht="12.75" customHeight="1">
      <c r="A320" s="11"/>
    </row>
    <row r="321" ht="12.75" customHeight="1">
      <c r="A321" s="11"/>
    </row>
    <row r="322" ht="12.75" customHeight="1">
      <c r="A322" s="11"/>
    </row>
    <row r="323" ht="12.75" customHeight="1">
      <c r="A323" s="11"/>
    </row>
    <row r="324" ht="12.75" customHeight="1">
      <c r="A324" s="11"/>
    </row>
    <row r="325" ht="12.75" customHeight="1">
      <c r="A325" s="11"/>
    </row>
    <row r="326" ht="12.75" customHeight="1">
      <c r="A326" s="11"/>
    </row>
    <row r="327" ht="12.75" customHeight="1">
      <c r="A327" s="11"/>
    </row>
    <row r="328" ht="12.75" customHeight="1">
      <c r="A328" s="11"/>
    </row>
    <row r="329" ht="12.75" customHeight="1">
      <c r="A329" s="11"/>
    </row>
    <row r="330" ht="12.75" customHeight="1">
      <c r="A330" s="11"/>
    </row>
    <row r="331" ht="12.75" customHeight="1">
      <c r="A331" s="11"/>
    </row>
    <row r="332" ht="12.75" customHeight="1">
      <c r="A332" s="11"/>
    </row>
    <row r="333" ht="12.75" customHeight="1">
      <c r="A333" s="11"/>
    </row>
    <row r="334" ht="12.75" customHeight="1">
      <c r="A334" s="11"/>
    </row>
    <row r="335" ht="12.75" customHeight="1">
      <c r="A335" s="11"/>
    </row>
    <row r="336" ht="12.75" customHeight="1">
      <c r="A336" s="11"/>
    </row>
    <row r="337" ht="12.75" customHeight="1">
      <c r="A337" s="11"/>
    </row>
    <row r="338" ht="12.75" customHeight="1">
      <c r="A338" s="11"/>
    </row>
    <row r="339" ht="12.75" customHeight="1">
      <c r="A339" s="11"/>
    </row>
    <row r="340" ht="12.75" customHeight="1">
      <c r="A340" s="11"/>
    </row>
    <row r="341" ht="12.75" customHeight="1">
      <c r="A341" s="11"/>
    </row>
    <row r="342" ht="12.75" customHeight="1">
      <c r="A342" s="11"/>
    </row>
    <row r="343" ht="12.75" customHeight="1">
      <c r="A343" s="11"/>
    </row>
    <row r="344" ht="12.75" customHeight="1">
      <c r="A344" s="11"/>
    </row>
    <row r="345" ht="12.75" customHeight="1">
      <c r="A345" s="11"/>
    </row>
    <row r="346" ht="12.75" customHeight="1">
      <c r="A346" s="11"/>
    </row>
    <row r="347" ht="12.75" customHeight="1">
      <c r="A347" s="11"/>
    </row>
    <row r="348" ht="12.75" customHeight="1">
      <c r="A348" s="11"/>
    </row>
    <row r="349" ht="12.75" customHeight="1">
      <c r="A349" s="11"/>
    </row>
    <row r="350" ht="12.75" customHeight="1">
      <c r="A350" s="11"/>
    </row>
    <row r="351" ht="12.75" customHeight="1">
      <c r="A351" s="11"/>
    </row>
    <row r="352" ht="12.75" customHeight="1">
      <c r="A352" s="11"/>
    </row>
    <row r="353" ht="12.75" customHeight="1">
      <c r="A353" s="11"/>
    </row>
    <row r="354" ht="12.75" customHeight="1">
      <c r="A354" s="11"/>
    </row>
    <row r="355" ht="12.75" customHeight="1">
      <c r="A355" s="11"/>
    </row>
    <row r="356" ht="12.75" customHeight="1">
      <c r="A356" s="11"/>
    </row>
    <row r="357" ht="12.75" customHeight="1">
      <c r="A357" s="11"/>
    </row>
    <row r="358" ht="12.75" customHeight="1">
      <c r="A358" s="11"/>
    </row>
    <row r="359" ht="12.75" customHeight="1">
      <c r="A359" s="11"/>
    </row>
    <row r="360" ht="12.75" customHeight="1">
      <c r="A360" s="11"/>
    </row>
    <row r="361" ht="12.75" customHeight="1">
      <c r="A361" s="11"/>
    </row>
    <row r="362" ht="12.75" customHeight="1">
      <c r="A362" s="11"/>
    </row>
    <row r="363" ht="12.75" customHeight="1">
      <c r="A363" s="11"/>
    </row>
    <row r="364" ht="12.75" customHeight="1">
      <c r="A364" s="11"/>
    </row>
    <row r="365" ht="12.75" customHeight="1">
      <c r="A365" s="11"/>
    </row>
    <row r="366" ht="12.75" customHeight="1">
      <c r="A366" s="11"/>
    </row>
    <row r="367" ht="12.75" customHeight="1">
      <c r="A367" s="11"/>
    </row>
    <row r="368" ht="12.75" customHeight="1">
      <c r="A368" s="11"/>
    </row>
    <row r="369" ht="12.75" customHeight="1">
      <c r="A369" s="11"/>
    </row>
    <row r="370" ht="12.75" customHeight="1">
      <c r="A370" s="11"/>
    </row>
    <row r="371" ht="12.75" customHeight="1">
      <c r="A371" s="11"/>
    </row>
    <row r="372" ht="12.75" customHeight="1">
      <c r="A372" s="11"/>
    </row>
    <row r="373" ht="12.75" customHeight="1">
      <c r="A373" s="11"/>
    </row>
    <row r="374" ht="12.75" customHeight="1">
      <c r="A374" s="11"/>
    </row>
    <row r="375" ht="12.75" customHeight="1">
      <c r="A375" s="11"/>
    </row>
    <row r="376" ht="12.75" customHeight="1">
      <c r="A376" s="11"/>
    </row>
    <row r="377" ht="12.75" customHeight="1">
      <c r="A377" s="11"/>
    </row>
    <row r="378" ht="12.75" customHeight="1">
      <c r="A378" s="11"/>
    </row>
    <row r="379" ht="12.75" customHeight="1">
      <c r="A379" s="11"/>
    </row>
    <row r="380" ht="12.75" customHeight="1">
      <c r="A380" s="11"/>
    </row>
    <row r="381" ht="12.75" customHeight="1">
      <c r="A381" s="11"/>
    </row>
    <row r="382" ht="12.75" customHeight="1">
      <c r="A382" s="11"/>
    </row>
    <row r="383" ht="12.75" customHeight="1">
      <c r="A383" s="11"/>
    </row>
    <row r="384" ht="12.75" customHeight="1">
      <c r="A384" s="11"/>
    </row>
    <row r="385" ht="12.75" customHeight="1">
      <c r="A385" s="11"/>
    </row>
    <row r="386" ht="12.75" customHeight="1">
      <c r="A386" s="11"/>
    </row>
    <row r="387" ht="12.75" customHeight="1">
      <c r="A387" s="11"/>
    </row>
    <row r="388" ht="12.75" customHeight="1">
      <c r="A388" s="11"/>
    </row>
    <row r="389" ht="12.75" customHeight="1">
      <c r="A389" s="11"/>
    </row>
    <row r="390" ht="12.75" customHeight="1">
      <c r="A390" s="11"/>
    </row>
    <row r="391" ht="12.75" customHeight="1">
      <c r="A391" s="11"/>
    </row>
    <row r="392" ht="12.75" customHeight="1">
      <c r="A392" s="11"/>
    </row>
    <row r="393" ht="12.75" customHeight="1">
      <c r="A393" s="11"/>
    </row>
    <row r="394" ht="12.75" customHeight="1">
      <c r="A394" s="11"/>
    </row>
    <row r="395" ht="12.75" customHeight="1">
      <c r="A395" s="11"/>
    </row>
    <row r="396" ht="12.75" customHeight="1">
      <c r="A396" s="11"/>
    </row>
    <row r="397" ht="12.75" customHeight="1">
      <c r="A397" s="11"/>
    </row>
    <row r="398" ht="12.75" customHeight="1">
      <c r="A398" s="11"/>
    </row>
    <row r="399" ht="12.75" customHeight="1">
      <c r="A399" s="11"/>
    </row>
    <row r="400" ht="12.75" customHeight="1">
      <c r="A400" s="11"/>
    </row>
    <row r="401" ht="12.75" customHeight="1">
      <c r="A401" s="11"/>
    </row>
    <row r="402" ht="12.75" customHeight="1">
      <c r="A402" s="11"/>
    </row>
    <row r="403" ht="12.75" customHeight="1">
      <c r="A403" s="11"/>
    </row>
    <row r="404" ht="12.75" customHeight="1">
      <c r="A404" s="11"/>
    </row>
    <row r="405" ht="12.75" customHeight="1">
      <c r="A405" s="11"/>
    </row>
    <row r="406" ht="12.75" customHeight="1">
      <c r="A406" s="11"/>
    </row>
    <row r="407" ht="12.75" customHeight="1">
      <c r="A407" s="11"/>
    </row>
    <row r="408" ht="12.75" customHeight="1">
      <c r="A408" s="11"/>
    </row>
    <row r="409" ht="12.75" customHeight="1">
      <c r="A409" s="11"/>
    </row>
    <row r="410" ht="12.75" customHeight="1">
      <c r="A410" s="11"/>
    </row>
    <row r="411" ht="12.75" customHeight="1">
      <c r="A411" s="11"/>
    </row>
    <row r="412" ht="12.75" customHeight="1">
      <c r="A412" s="11"/>
    </row>
    <row r="413" ht="12.75" customHeight="1">
      <c r="A413" s="11"/>
    </row>
    <row r="414" ht="12.75" customHeight="1">
      <c r="A414" s="11"/>
    </row>
    <row r="415" ht="12.75" customHeight="1">
      <c r="A415" s="11"/>
    </row>
    <row r="416" ht="12.75" customHeight="1">
      <c r="A416" s="11"/>
    </row>
    <row r="417" ht="12.75" customHeight="1">
      <c r="A417" s="11"/>
    </row>
    <row r="418" ht="12.75" customHeight="1">
      <c r="A418" s="11"/>
    </row>
    <row r="419" ht="12.75" customHeight="1">
      <c r="A419" s="11"/>
    </row>
    <row r="420" ht="12.75" customHeight="1">
      <c r="A420" s="11"/>
    </row>
    <row r="421" ht="12.75" customHeight="1">
      <c r="A421" s="11"/>
    </row>
    <row r="422" ht="12.75" customHeight="1">
      <c r="A422" s="11"/>
    </row>
    <row r="423" ht="12.75" customHeight="1">
      <c r="A423" s="11"/>
    </row>
    <row r="424" ht="12.75" customHeight="1">
      <c r="A424" s="11"/>
    </row>
    <row r="425" ht="12.75" customHeight="1">
      <c r="A425" s="11"/>
    </row>
    <row r="426" ht="12.75" customHeight="1">
      <c r="A426" s="11"/>
    </row>
    <row r="427" ht="12.75" customHeight="1">
      <c r="A427" s="11"/>
    </row>
    <row r="428" ht="12.75" customHeight="1">
      <c r="A428" s="11"/>
    </row>
    <row r="429" ht="12.75" customHeight="1">
      <c r="A429" s="11"/>
    </row>
    <row r="430" ht="12.75" customHeight="1">
      <c r="A430" s="11"/>
    </row>
    <row r="431" ht="12.75" customHeight="1">
      <c r="A431" s="11"/>
    </row>
    <row r="432" ht="12.75" customHeight="1">
      <c r="A432" s="11"/>
    </row>
    <row r="433" ht="12.75" customHeight="1">
      <c r="A433" s="11"/>
    </row>
    <row r="434" ht="12.75" customHeight="1">
      <c r="A434" s="11"/>
    </row>
    <row r="435" ht="12.75" customHeight="1">
      <c r="A435" s="11"/>
    </row>
    <row r="436" ht="12.75" customHeight="1">
      <c r="A436" s="11"/>
    </row>
    <row r="437" ht="12.75" customHeight="1">
      <c r="A437" s="11"/>
    </row>
    <row r="438" ht="12.75" customHeight="1">
      <c r="A438" s="11"/>
    </row>
    <row r="439" ht="12.75" customHeight="1">
      <c r="A439" s="11"/>
    </row>
    <row r="440" ht="12.75" customHeight="1">
      <c r="A440" s="11"/>
    </row>
    <row r="441" ht="12.75" customHeight="1">
      <c r="A441" s="11"/>
    </row>
    <row r="442" ht="12.75" customHeight="1">
      <c r="A442" s="11"/>
    </row>
    <row r="443" ht="12.75" customHeight="1">
      <c r="A443" s="11"/>
    </row>
    <row r="444" ht="12.75" customHeight="1">
      <c r="A444" s="11"/>
    </row>
    <row r="445" ht="12.75" customHeight="1">
      <c r="A445" s="11"/>
    </row>
    <row r="446" ht="12.75" customHeight="1">
      <c r="A446" s="11"/>
    </row>
    <row r="447" ht="12.75" customHeight="1">
      <c r="A447" s="11"/>
    </row>
    <row r="448" ht="12.75" customHeight="1">
      <c r="A448" s="11"/>
    </row>
    <row r="449" ht="12.75" customHeight="1">
      <c r="A449" s="11"/>
    </row>
    <row r="450" ht="12.75" customHeight="1">
      <c r="A450" s="11"/>
    </row>
    <row r="451" ht="12.75" customHeight="1">
      <c r="A451" s="11"/>
    </row>
    <row r="452" ht="12.75" customHeight="1">
      <c r="A452" s="11"/>
    </row>
    <row r="453" ht="12.75" customHeight="1">
      <c r="A453" s="11"/>
    </row>
    <row r="454" ht="12.75" customHeight="1">
      <c r="A454" s="11"/>
    </row>
    <row r="455" ht="12.75" customHeight="1">
      <c r="A455" s="11"/>
    </row>
    <row r="456" ht="12.75" customHeight="1">
      <c r="A456" s="11"/>
    </row>
    <row r="457" ht="12.75" customHeight="1">
      <c r="A457" s="11"/>
    </row>
    <row r="458" ht="12.75" customHeight="1">
      <c r="A458" s="11"/>
    </row>
    <row r="459" ht="12.75" customHeight="1">
      <c r="A459" s="11"/>
    </row>
    <row r="460" ht="12.75" customHeight="1">
      <c r="A460" s="11"/>
    </row>
    <row r="461" ht="12.75" customHeight="1">
      <c r="A461" s="11"/>
    </row>
    <row r="462" ht="12.75" customHeight="1">
      <c r="A462" s="11"/>
    </row>
    <row r="463" ht="12.75" customHeight="1">
      <c r="A463" s="11"/>
    </row>
    <row r="464" ht="12.75" customHeight="1">
      <c r="A464" s="11"/>
    </row>
    <row r="465" ht="12.75" customHeight="1">
      <c r="A465" s="11"/>
    </row>
    <row r="466" ht="12.75" customHeight="1">
      <c r="A466" s="11"/>
    </row>
    <row r="467" ht="12.75" customHeight="1">
      <c r="A467" s="11"/>
    </row>
    <row r="468" ht="12.75" customHeight="1">
      <c r="A468" s="11"/>
    </row>
    <row r="469" ht="12.75" customHeight="1">
      <c r="A469" s="11"/>
    </row>
    <row r="470" ht="12.75" customHeight="1">
      <c r="A470" s="11"/>
    </row>
    <row r="471" ht="12.75" customHeight="1">
      <c r="A471" s="11"/>
    </row>
    <row r="472" ht="12.75" customHeight="1">
      <c r="A472" s="11"/>
    </row>
    <row r="473" ht="12.75" customHeight="1">
      <c r="A473" s="11"/>
    </row>
    <row r="474" ht="12.75" customHeight="1">
      <c r="A474" s="11"/>
    </row>
    <row r="475" ht="12.75" customHeight="1">
      <c r="A475" s="11"/>
    </row>
    <row r="476" ht="12.75" customHeight="1">
      <c r="A476" s="11"/>
    </row>
    <row r="477" ht="12.75" customHeight="1">
      <c r="A477" s="11"/>
    </row>
    <row r="478" ht="12.75" customHeight="1">
      <c r="A478" s="11"/>
    </row>
    <row r="479" ht="12.75" customHeight="1">
      <c r="A479" s="11"/>
    </row>
    <row r="480" ht="12.75" customHeight="1">
      <c r="A480" s="11"/>
    </row>
    <row r="481" ht="12.75" customHeight="1">
      <c r="A481" s="11"/>
    </row>
    <row r="482" ht="12.75" customHeight="1">
      <c r="A482" s="11"/>
    </row>
    <row r="483" ht="12.75" customHeight="1">
      <c r="A483" s="11"/>
    </row>
    <row r="484" ht="12.75" customHeight="1">
      <c r="A484" s="11"/>
    </row>
    <row r="485" ht="12.75" customHeight="1">
      <c r="A485" s="11"/>
    </row>
    <row r="486" ht="12.75" customHeight="1">
      <c r="A486" s="11"/>
    </row>
    <row r="487" ht="12.75" customHeight="1">
      <c r="A487" s="11"/>
    </row>
    <row r="488" ht="12.75" customHeight="1">
      <c r="A488" s="11"/>
    </row>
    <row r="489" ht="12.75" customHeight="1">
      <c r="A489" s="11"/>
    </row>
    <row r="490" ht="12.75" customHeight="1">
      <c r="A490" s="11"/>
    </row>
    <row r="491" ht="12.75" customHeight="1">
      <c r="A491" s="11"/>
    </row>
    <row r="492" ht="12.75" customHeight="1">
      <c r="A492" s="11"/>
    </row>
    <row r="493" ht="12.75" customHeight="1">
      <c r="A493" s="11"/>
    </row>
    <row r="494" ht="12.75" customHeight="1">
      <c r="A494" s="11"/>
    </row>
    <row r="495" ht="12.75" customHeight="1">
      <c r="A495" s="11"/>
    </row>
    <row r="496" ht="12.75" customHeight="1">
      <c r="A496" s="11"/>
    </row>
    <row r="497" ht="12.75" customHeight="1">
      <c r="A497" s="11"/>
    </row>
    <row r="498" ht="12.75" customHeight="1">
      <c r="A498" s="11"/>
    </row>
    <row r="499" ht="12.75" customHeight="1">
      <c r="A499" s="11"/>
    </row>
    <row r="500" ht="12.75" customHeight="1">
      <c r="A500" s="11"/>
    </row>
    <row r="501" ht="12.75" customHeight="1">
      <c r="A501" s="11"/>
    </row>
    <row r="502" ht="12.75" customHeight="1">
      <c r="A502" s="11"/>
    </row>
    <row r="503" ht="12.75" customHeight="1">
      <c r="A503" s="11"/>
    </row>
    <row r="504" ht="12.75" customHeight="1">
      <c r="A504" s="11"/>
    </row>
    <row r="505" ht="12.75" customHeight="1">
      <c r="A505" s="11"/>
    </row>
    <row r="506" ht="12.75" customHeight="1">
      <c r="A506" s="11"/>
    </row>
    <row r="507" ht="12.75" customHeight="1">
      <c r="A507" s="11"/>
    </row>
    <row r="508" ht="12.75" customHeight="1">
      <c r="A508" s="11"/>
    </row>
    <row r="509" ht="12.75" customHeight="1">
      <c r="A509" s="11"/>
    </row>
    <row r="510" ht="12.75" customHeight="1">
      <c r="A510" s="11"/>
    </row>
    <row r="511" ht="12.75" customHeight="1">
      <c r="A511" s="11"/>
    </row>
    <row r="512" ht="12.75" customHeight="1">
      <c r="A512" s="11"/>
    </row>
    <row r="513" ht="12.75" customHeight="1">
      <c r="A513" s="11"/>
    </row>
    <row r="514" ht="12.75" customHeight="1">
      <c r="A514" s="11"/>
    </row>
    <row r="515" ht="12.75" customHeight="1">
      <c r="A515" s="11"/>
    </row>
    <row r="516" ht="12.75" customHeight="1">
      <c r="A516" s="11"/>
    </row>
    <row r="517" ht="12.75" customHeight="1">
      <c r="A517" s="11"/>
    </row>
    <row r="518" ht="12.75" customHeight="1">
      <c r="A518" s="11"/>
    </row>
    <row r="519" ht="12.75" customHeight="1">
      <c r="A519" s="11"/>
    </row>
    <row r="520" ht="12.75" customHeight="1">
      <c r="A520" s="11"/>
    </row>
    <row r="521" ht="12.75" customHeight="1">
      <c r="A521" s="11"/>
    </row>
    <row r="522" ht="12.75" customHeight="1">
      <c r="A522" s="11"/>
    </row>
    <row r="523" ht="12.75" customHeight="1">
      <c r="A523" s="11"/>
    </row>
    <row r="524" ht="12.75" customHeight="1">
      <c r="A524" s="11"/>
    </row>
    <row r="525" ht="12.75" customHeight="1">
      <c r="A525" s="11"/>
    </row>
    <row r="526" ht="12.75" customHeight="1">
      <c r="A526" s="11"/>
    </row>
    <row r="527" ht="12.75" customHeight="1">
      <c r="A527" s="11"/>
    </row>
    <row r="528" ht="12.75" customHeight="1">
      <c r="A528" s="11"/>
    </row>
    <row r="529" ht="12.75" customHeight="1">
      <c r="A529" s="11"/>
    </row>
    <row r="530" ht="12.75" customHeight="1">
      <c r="A530" s="11"/>
    </row>
    <row r="531" ht="12.75" customHeight="1">
      <c r="A531" s="11"/>
    </row>
    <row r="532" ht="12.75" customHeight="1">
      <c r="A532" s="11"/>
    </row>
    <row r="533" ht="12.75" customHeight="1">
      <c r="A533" s="11"/>
    </row>
    <row r="534" ht="12.75" customHeight="1">
      <c r="A534" s="11"/>
    </row>
    <row r="535" ht="12.75" customHeight="1">
      <c r="A535" s="11"/>
    </row>
    <row r="536" ht="12.75" customHeight="1">
      <c r="A536" s="11"/>
    </row>
    <row r="537" ht="12.75" customHeight="1">
      <c r="A537" s="11"/>
    </row>
    <row r="538" ht="12.75" customHeight="1">
      <c r="A538" s="11"/>
    </row>
    <row r="539" ht="12.75" customHeight="1">
      <c r="A539" s="11"/>
    </row>
    <row r="540" ht="12.75" customHeight="1">
      <c r="A540" s="11"/>
    </row>
    <row r="541" ht="12.75" customHeight="1">
      <c r="A541" s="11"/>
    </row>
    <row r="542" ht="12.75" customHeight="1">
      <c r="A542" s="11"/>
    </row>
    <row r="543" ht="12.75" customHeight="1">
      <c r="A543" s="11"/>
    </row>
    <row r="544" ht="12.75" customHeight="1">
      <c r="A544" s="11"/>
    </row>
    <row r="545" ht="12.75" customHeight="1">
      <c r="A545" s="11"/>
    </row>
    <row r="546" ht="12.75" customHeight="1">
      <c r="A546" s="11"/>
    </row>
    <row r="547" ht="12.75" customHeight="1">
      <c r="A547" s="11"/>
    </row>
    <row r="548" ht="12.75" customHeight="1">
      <c r="A548" s="11"/>
    </row>
    <row r="549" ht="12.75" customHeight="1">
      <c r="A549" s="11"/>
    </row>
    <row r="550" ht="12.75" customHeight="1">
      <c r="A550" s="11"/>
    </row>
    <row r="551" ht="12.75" customHeight="1">
      <c r="A551" s="11"/>
    </row>
    <row r="552" ht="12.75" customHeight="1">
      <c r="A552" s="11"/>
    </row>
    <row r="553" ht="12.75" customHeight="1">
      <c r="A553" s="11"/>
    </row>
    <row r="554" ht="12.75" customHeight="1">
      <c r="A554" s="11"/>
    </row>
    <row r="555" ht="12.75" customHeight="1">
      <c r="A555" s="11"/>
    </row>
    <row r="556" ht="12.75" customHeight="1">
      <c r="A556" s="11"/>
    </row>
    <row r="557" ht="12.75" customHeight="1">
      <c r="A557" s="11"/>
    </row>
    <row r="558" ht="12.75" customHeight="1">
      <c r="A558" s="11"/>
    </row>
    <row r="559" ht="12.75" customHeight="1">
      <c r="A559" s="11"/>
    </row>
    <row r="560" ht="12.75" customHeight="1">
      <c r="A560" s="11"/>
    </row>
    <row r="561" ht="12.75" customHeight="1">
      <c r="A561" s="11"/>
    </row>
    <row r="562" ht="12.75" customHeight="1">
      <c r="A562" s="11"/>
    </row>
    <row r="563" ht="12.75" customHeight="1">
      <c r="A563" s="11"/>
    </row>
    <row r="564" ht="12.75" customHeight="1">
      <c r="A564" s="11"/>
    </row>
    <row r="565" ht="12.75" customHeight="1">
      <c r="A565" s="11"/>
    </row>
    <row r="566" ht="12.75" customHeight="1">
      <c r="A566" s="11"/>
    </row>
    <row r="567" ht="12.75" customHeight="1">
      <c r="A567" s="11"/>
    </row>
    <row r="568" ht="12.75" customHeight="1">
      <c r="A568" s="11"/>
    </row>
    <row r="569" ht="12.75" customHeight="1">
      <c r="A569" s="11"/>
    </row>
    <row r="570" ht="12.75" customHeight="1">
      <c r="A570" s="11"/>
    </row>
    <row r="571" ht="12.75" customHeight="1">
      <c r="A571" s="11"/>
    </row>
    <row r="572" ht="12.75" customHeight="1">
      <c r="A572" s="11"/>
    </row>
    <row r="573" ht="12.75" customHeight="1">
      <c r="A573" s="11"/>
    </row>
    <row r="574" ht="12.75" customHeight="1">
      <c r="A574" s="11"/>
    </row>
    <row r="575" ht="12.75" customHeight="1">
      <c r="A575" s="11"/>
    </row>
    <row r="576" ht="12.75" customHeight="1">
      <c r="A576" s="11"/>
    </row>
    <row r="577" ht="12.75" customHeight="1">
      <c r="A577" s="11"/>
    </row>
    <row r="578" ht="12.75" customHeight="1">
      <c r="A578" s="11"/>
    </row>
    <row r="579" ht="12.75" customHeight="1">
      <c r="A579" s="11"/>
    </row>
    <row r="580" ht="12.75" customHeight="1">
      <c r="A580" s="11"/>
    </row>
    <row r="581" ht="12.75" customHeight="1">
      <c r="A581" s="11"/>
    </row>
    <row r="582" ht="12.75" customHeight="1">
      <c r="A582" s="11"/>
    </row>
    <row r="583" ht="12.75" customHeight="1">
      <c r="A583" s="11"/>
    </row>
    <row r="584" ht="12.75" customHeight="1">
      <c r="A584" s="11"/>
    </row>
    <row r="585" ht="12.75" customHeight="1">
      <c r="A585" s="11"/>
    </row>
    <row r="586" ht="12.75" customHeight="1">
      <c r="A586" s="11"/>
    </row>
    <row r="587" ht="12.75" customHeight="1">
      <c r="A587" s="11"/>
    </row>
    <row r="588" ht="12.75" customHeight="1">
      <c r="A588" s="11"/>
    </row>
    <row r="589" ht="12.75" customHeight="1">
      <c r="A589" s="11"/>
    </row>
    <row r="590" ht="12.75" customHeight="1">
      <c r="A590" s="11"/>
    </row>
    <row r="591" ht="12.75" customHeight="1">
      <c r="A591" s="11"/>
    </row>
    <row r="592" ht="12.75" customHeight="1">
      <c r="A592" s="11"/>
    </row>
    <row r="593" ht="12.75" customHeight="1">
      <c r="A593" s="11"/>
    </row>
    <row r="594" ht="12.75" customHeight="1">
      <c r="A594" s="11"/>
    </row>
    <row r="595" ht="12.75" customHeight="1">
      <c r="A595" s="11"/>
    </row>
    <row r="596" ht="12.75" customHeight="1">
      <c r="A596" s="11"/>
    </row>
    <row r="597" ht="12.75" customHeight="1">
      <c r="A597" s="11"/>
    </row>
    <row r="598" ht="12.75" customHeight="1">
      <c r="A598" s="11"/>
    </row>
    <row r="599" ht="12.75" customHeight="1">
      <c r="A599" s="11"/>
    </row>
    <row r="600" ht="12.75" customHeight="1">
      <c r="A600" s="11"/>
    </row>
    <row r="601" ht="12.75" customHeight="1">
      <c r="A601" s="11"/>
    </row>
    <row r="602" ht="12.75" customHeight="1">
      <c r="A602" s="11"/>
    </row>
    <row r="603" ht="12.75" customHeight="1">
      <c r="A603" s="11"/>
    </row>
    <row r="604" ht="12.75" customHeight="1">
      <c r="A604" s="11"/>
    </row>
    <row r="605" ht="12.75" customHeight="1">
      <c r="A605" s="11"/>
    </row>
    <row r="606" ht="12.75" customHeight="1">
      <c r="A606" s="11"/>
    </row>
    <row r="607" ht="12.75" customHeight="1">
      <c r="A607" s="11"/>
    </row>
    <row r="608" ht="12.75" customHeight="1">
      <c r="A608" s="11"/>
    </row>
    <row r="609" ht="12.75" customHeight="1">
      <c r="A609" s="11"/>
    </row>
    <row r="610" ht="12.75" customHeight="1">
      <c r="A610" s="11"/>
    </row>
    <row r="611" ht="12.75" customHeight="1">
      <c r="A611" s="11"/>
    </row>
    <row r="612" ht="12.75" customHeight="1">
      <c r="A612" s="11"/>
    </row>
    <row r="613" ht="12.75" customHeight="1">
      <c r="A613" s="11"/>
    </row>
    <row r="614" ht="12.75" customHeight="1">
      <c r="A614" s="11"/>
    </row>
    <row r="615" ht="12.75" customHeight="1">
      <c r="A615" s="11"/>
    </row>
    <row r="616" ht="12.75" customHeight="1">
      <c r="A616" s="11"/>
    </row>
    <row r="617" ht="12.75" customHeight="1">
      <c r="A617" s="11"/>
    </row>
    <row r="618" ht="12.75" customHeight="1">
      <c r="A618" s="11"/>
    </row>
    <row r="619" ht="12.75" customHeight="1">
      <c r="A619" s="11"/>
    </row>
    <row r="620" ht="12.75" customHeight="1">
      <c r="A620" s="11"/>
    </row>
    <row r="621" ht="12.75" customHeight="1">
      <c r="A621" s="11"/>
    </row>
    <row r="622" ht="12.75" customHeight="1">
      <c r="A622" s="11"/>
    </row>
    <row r="623" ht="12.75" customHeight="1">
      <c r="A623" s="11"/>
    </row>
    <row r="624" ht="12.75" customHeight="1">
      <c r="A624" s="11"/>
    </row>
    <row r="625" ht="12.75" customHeight="1">
      <c r="A625" s="11"/>
    </row>
    <row r="626" ht="12.75" customHeight="1">
      <c r="A626" s="11"/>
    </row>
    <row r="627" ht="12.75" customHeight="1">
      <c r="A627" s="11"/>
    </row>
    <row r="628" ht="12.75" customHeight="1">
      <c r="A628" s="11"/>
    </row>
    <row r="629" ht="12.75" customHeight="1">
      <c r="A629" s="11"/>
    </row>
    <row r="630" ht="12.75" customHeight="1">
      <c r="A630" s="11"/>
    </row>
    <row r="631" ht="12.75" customHeight="1">
      <c r="A631" s="11"/>
    </row>
    <row r="632" ht="12.75" customHeight="1">
      <c r="A632" s="11"/>
    </row>
    <row r="633" ht="12.75" customHeight="1">
      <c r="A633" s="11"/>
    </row>
    <row r="634" ht="12.75" customHeight="1">
      <c r="A634" s="11"/>
    </row>
    <row r="635" ht="12.75" customHeight="1">
      <c r="A635" s="11"/>
    </row>
    <row r="636" ht="12.75" customHeight="1">
      <c r="A636" s="11"/>
    </row>
    <row r="637" ht="12.75" customHeight="1">
      <c r="A637" s="11"/>
    </row>
    <row r="638" ht="12.75" customHeight="1">
      <c r="A638" s="11"/>
    </row>
    <row r="639" ht="12.75" customHeight="1">
      <c r="A639" s="11"/>
    </row>
    <row r="640" ht="12.75" customHeight="1">
      <c r="A640" s="11"/>
    </row>
    <row r="641" ht="12.75" customHeight="1">
      <c r="A641" s="11"/>
    </row>
    <row r="642" ht="12.75" customHeight="1">
      <c r="A642" s="11"/>
    </row>
    <row r="643" ht="12.75" customHeight="1">
      <c r="A643" s="11"/>
    </row>
    <row r="644" ht="12.75" customHeight="1">
      <c r="A644" s="11"/>
    </row>
    <row r="645" ht="12.75" customHeight="1">
      <c r="A645" s="11"/>
    </row>
    <row r="646" ht="12.75" customHeight="1">
      <c r="A646" s="11"/>
    </row>
    <row r="647" ht="12.75" customHeight="1">
      <c r="A647" s="11"/>
    </row>
    <row r="648" ht="12.75" customHeight="1">
      <c r="A648" s="11"/>
    </row>
    <row r="649" ht="12.75" customHeight="1">
      <c r="A649" s="11"/>
    </row>
    <row r="650" ht="12.75" customHeight="1">
      <c r="A650" s="11"/>
    </row>
    <row r="651" ht="12.75" customHeight="1">
      <c r="A651" s="11"/>
    </row>
    <row r="652" ht="12.75" customHeight="1">
      <c r="A652" s="11"/>
    </row>
    <row r="653" ht="12.75" customHeight="1">
      <c r="A653" s="11"/>
    </row>
    <row r="654" ht="12.75" customHeight="1">
      <c r="A654" s="11"/>
    </row>
    <row r="655" ht="12.75" customHeight="1">
      <c r="A655" s="11"/>
    </row>
    <row r="656" ht="12.75" customHeight="1">
      <c r="A656" s="11"/>
    </row>
    <row r="657" ht="12.75" customHeight="1">
      <c r="A657" s="11"/>
    </row>
    <row r="658" ht="12.75" customHeight="1">
      <c r="A658" s="11"/>
    </row>
    <row r="659" ht="12.75" customHeight="1">
      <c r="A659" s="11"/>
    </row>
    <row r="660" ht="12.75" customHeight="1">
      <c r="A660" s="11"/>
    </row>
    <row r="661" ht="12.75" customHeight="1">
      <c r="A661" s="11"/>
    </row>
    <row r="662" ht="12.75" customHeight="1">
      <c r="A662" s="11"/>
    </row>
    <row r="663" ht="12.75" customHeight="1">
      <c r="A663" s="11"/>
    </row>
    <row r="664" ht="12.75" customHeight="1">
      <c r="A664" s="11"/>
    </row>
    <row r="665" ht="12.75" customHeight="1">
      <c r="A665" s="11"/>
    </row>
    <row r="666" ht="12.75" customHeight="1">
      <c r="A666" s="11"/>
    </row>
    <row r="667" ht="12.75" customHeight="1">
      <c r="A667" s="11"/>
    </row>
    <row r="668" ht="12.75" customHeight="1">
      <c r="A668" s="11"/>
    </row>
    <row r="669" ht="12.75" customHeight="1">
      <c r="A669" s="11"/>
    </row>
    <row r="670" ht="12.75" customHeight="1">
      <c r="A670" s="11"/>
    </row>
    <row r="671" ht="12.75" customHeight="1">
      <c r="A671" s="11"/>
    </row>
    <row r="672" ht="12.75" customHeight="1">
      <c r="A672" s="11"/>
    </row>
    <row r="673" ht="12.75" customHeight="1">
      <c r="A673" s="11"/>
    </row>
    <row r="674" ht="12.75" customHeight="1">
      <c r="A674" s="11"/>
    </row>
    <row r="675" ht="12.75" customHeight="1">
      <c r="A675" s="11"/>
    </row>
    <row r="676" ht="12.75" customHeight="1">
      <c r="A676" s="11"/>
    </row>
    <row r="677" ht="12.75" customHeight="1">
      <c r="A677" s="11"/>
    </row>
    <row r="678" ht="12.75" customHeight="1">
      <c r="A678" s="11"/>
    </row>
    <row r="679" ht="12.75" customHeight="1">
      <c r="A679" s="11"/>
    </row>
    <row r="680" ht="12.75" customHeight="1">
      <c r="A680" s="11"/>
    </row>
    <row r="681" ht="12.75" customHeight="1">
      <c r="A681" s="11"/>
    </row>
    <row r="682" ht="12.75" customHeight="1">
      <c r="A682" s="11"/>
    </row>
    <row r="683" ht="12.75" customHeight="1">
      <c r="A683" s="11"/>
    </row>
    <row r="684" ht="12.75" customHeight="1">
      <c r="A684" s="11"/>
    </row>
    <row r="685" ht="12.75" customHeight="1">
      <c r="A685" s="11"/>
    </row>
    <row r="686" ht="12.75" customHeight="1">
      <c r="A686" s="11"/>
    </row>
    <row r="687" ht="12.75" customHeight="1">
      <c r="A687" s="11"/>
    </row>
    <row r="688" ht="12.75" customHeight="1">
      <c r="A688" s="11"/>
    </row>
    <row r="689" ht="12.75" customHeight="1">
      <c r="A689" s="11"/>
    </row>
    <row r="690" ht="12.75" customHeight="1">
      <c r="A690" s="11"/>
    </row>
    <row r="691" ht="12.75" customHeight="1">
      <c r="A691" s="11"/>
    </row>
    <row r="692" ht="12.75" customHeight="1">
      <c r="A692" s="11"/>
    </row>
    <row r="693" ht="12.75" customHeight="1">
      <c r="A693" s="11"/>
    </row>
    <row r="694" ht="12.75" customHeight="1">
      <c r="A694" s="11"/>
    </row>
    <row r="695" ht="12.75" customHeight="1">
      <c r="A695" s="11"/>
    </row>
    <row r="696" ht="12.75" customHeight="1">
      <c r="A696" s="11"/>
    </row>
    <row r="697" ht="12.75" customHeight="1">
      <c r="A697" s="11"/>
    </row>
    <row r="698" ht="12.75" customHeight="1">
      <c r="A698" s="11"/>
    </row>
    <row r="699" ht="12.75" customHeight="1">
      <c r="A699" s="11"/>
    </row>
    <row r="700" ht="12.75" customHeight="1">
      <c r="A700" s="11"/>
    </row>
    <row r="701" ht="12.75" customHeight="1">
      <c r="A701" s="11"/>
    </row>
    <row r="702" ht="12.75" customHeight="1">
      <c r="A702" s="11"/>
    </row>
    <row r="703" ht="12.75" customHeight="1">
      <c r="A703" s="11"/>
    </row>
    <row r="704" ht="12.75" customHeight="1">
      <c r="A704" s="11"/>
    </row>
    <row r="705" ht="12.75" customHeight="1">
      <c r="A705" s="11"/>
    </row>
    <row r="706" ht="12.75" customHeight="1">
      <c r="A706" s="11"/>
    </row>
    <row r="707" ht="12.75" customHeight="1">
      <c r="A707" s="11"/>
    </row>
    <row r="708" ht="12.75" customHeight="1">
      <c r="A708" s="11"/>
    </row>
    <row r="709" ht="12.75" customHeight="1">
      <c r="A709" s="11"/>
    </row>
    <row r="710" ht="12.75" customHeight="1">
      <c r="A710" s="11"/>
    </row>
    <row r="711" ht="12.75" customHeight="1">
      <c r="A711" s="11"/>
    </row>
    <row r="712" ht="12.75" customHeight="1">
      <c r="A712" s="11"/>
    </row>
    <row r="713" ht="12.75" customHeight="1">
      <c r="A713" s="11"/>
    </row>
    <row r="714" ht="12.75" customHeight="1">
      <c r="A714" s="11"/>
    </row>
    <row r="715" ht="12.75" customHeight="1">
      <c r="A715" s="11"/>
    </row>
    <row r="716" ht="12.75" customHeight="1">
      <c r="A716" s="11"/>
    </row>
    <row r="717" ht="12.75" customHeight="1">
      <c r="A717" s="11"/>
    </row>
    <row r="718" ht="12.75" customHeight="1">
      <c r="A718" s="11"/>
    </row>
    <row r="719" ht="12.75" customHeight="1">
      <c r="A719" s="11"/>
    </row>
    <row r="720" ht="12.75" customHeight="1">
      <c r="A720" s="11"/>
    </row>
    <row r="721" ht="12.75" customHeight="1">
      <c r="A721" s="11"/>
    </row>
    <row r="722" ht="12.75" customHeight="1">
      <c r="A722" s="11"/>
    </row>
    <row r="723" ht="12.75" customHeight="1">
      <c r="A723" s="11"/>
    </row>
    <row r="724" ht="12.75" customHeight="1">
      <c r="A724" s="11"/>
    </row>
    <row r="725" ht="12.75" customHeight="1">
      <c r="A725" s="11"/>
    </row>
    <row r="726" ht="12.75" customHeight="1">
      <c r="A726" s="11"/>
    </row>
    <row r="727" ht="12.75" customHeight="1">
      <c r="A727" s="11"/>
    </row>
    <row r="728" ht="12.75" customHeight="1">
      <c r="A728" s="11"/>
    </row>
    <row r="729" ht="12.75" customHeight="1">
      <c r="A729" s="11"/>
    </row>
    <row r="730" ht="12.75" customHeight="1">
      <c r="A730" s="11"/>
    </row>
    <row r="731" ht="12.75" customHeight="1">
      <c r="A731" s="11"/>
    </row>
    <row r="732" ht="12.75" customHeight="1">
      <c r="A732" s="11"/>
    </row>
    <row r="733" ht="12.75" customHeight="1">
      <c r="A733" s="11"/>
    </row>
    <row r="734" ht="12.75" customHeight="1">
      <c r="A734" s="11"/>
    </row>
    <row r="735" ht="12.75" customHeight="1">
      <c r="A735" s="11"/>
    </row>
    <row r="736" ht="12.75" customHeight="1">
      <c r="A736" s="11"/>
    </row>
    <row r="737" ht="12.75" customHeight="1">
      <c r="A737" s="11"/>
    </row>
    <row r="738" ht="12.75" customHeight="1">
      <c r="A738" s="11"/>
    </row>
    <row r="739" ht="12.75" customHeight="1">
      <c r="A739" s="11"/>
    </row>
    <row r="740" ht="12.75" customHeight="1">
      <c r="A740" s="11"/>
    </row>
    <row r="741" ht="12.75" customHeight="1">
      <c r="A741" s="11"/>
    </row>
    <row r="742" ht="12.75" customHeight="1">
      <c r="A742" s="11"/>
    </row>
    <row r="743" ht="12.75" customHeight="1">
      <c r="A743" s="11"/>
    </row>
    <row r="744" ht="12.75" customHeight="1">
      <c r="A744" s="11"/>
    </row>
    <row r="745" ht="12.75" customHeight="1">
      <c r="A745" s="11"/>
    </row>
    <row r="746" ht="12.75" customHeight="1">
      <c r="A746" s="11"/>
    </row>
    <row r="747" ht="12.75" customHeight="1">
      <c r="A747" s="11"/>
    </row>
    <row r="748" ht="12.75" customHeight="1">
      <c r="A748" s="11"/>
    </row>
    <row r="749" ht="12.75" customHeight="1">
      <c r="A749" s="11"/>
    </row>
    <row r="750" ht="12.75" customHeight="1">
      <c r="A750" s="11"/>
    </row>
    <row r="751" ht="12.75" customHeight="1">
      <c r="A751" s="11"/>
    </row>
    <row r="752" ht="12.75" customHeight="1">
      <c r="A752" s="11"/>
    </row>
    <row r="753" ht="12.75" customHeight="1">
      <c r="A753" s="11"/>
    </row>
    <row r="754" ht="12.75" customHeight="1">
      <c r="A754" s="11"/>
    </row>
    <row r="755" ht="12.75" customHeight="1">
      <c r="A755" s="11"/>
    </row>
    <row r="756" ht="12.75" customHeight="1">
      <c r="A756" s="11"/>
    </row>
    <row r="757" ht="12.75" customHeight="1">
      <c r="A757" s="11"/>
    </row>
    <row r="758" ht="12.75" customHeight="1">
      <c r="A758" s="11"/>
    </row>
    <row r="759" ht="12.75" customHeight="1">
      <c r="A759" s="11"/>
    </row>
    <row r="760" ht="12.75" customHeight="1">
      <c r="A760" s="11"/>
    </row>
    <row r="761" ht="12.75" customHeight="1">
      <c r="A761" s="11"/>
    </row>
    <row r="762" ht="12.75" customHeight="1">
      <c r="A762" s="11"/>
    </row>
    <row r="763" ht="12.75" customHeight="1">
      <c r="A763" s="11"/>
    </row>
    <row r="764" ht="12.75" customHeight="1">
      <c r="A764" s="11"/>
    </row>
    <row r="765" ht="12.75" customHeight="1">
      <c r="A765" s="11"/>
    </row>
    <row r="766" ht="12.75" customHeight="1">
      <c r="A766" s="11"/>
    </row>
    <row r="767" ht="12.75" customHeight="1">
      <c r="A767" s="11"/>
    </row>
    <row r="768" ht="12.75" customHeight="1">
      <c r="A768" s="11"/>
    </row>
    <row r="769" ht="12.75" customHeight="1">
      <c r="A769" s="11"/>
    </row>
    <row r="770" ht="12.75" customHeight="1">
      <c r="A770" s="11"/>
    </row>
    <row r="771" ht="12.75" customHeight="1">
      <c r="A771" s="11"/>
    </row>
    <row r="772" ht="12.75" customHeight="1">
      <c r="A772" s="11"/>
    </row>
    <row r="773" ht="12.75" customHeight="1">
      <c r="A773" s="11"/>
    </row>
    <row r="774" ht="12.75" customHeight="1">
      <c r="A774" s="11"/>
    </row>
    <row r="775" ht="12.75" customHeight="1">
      <c r="A775" s="11"/>
    </row>
    <row r="776" ht="12.75" customHeight="1">
      <c r="A776" s="11"/>
    </row>
    <row r="777" ht="12.75" customHeight="1">
      <c r="A777" s="11"/>
    </row>
    <row r="778" ht="12.75" customHeight="1">
      <c r="A778" s="11"/>
    </row>
    <row r="779" ht="12.75" customHeight="1">
      <c r="A779" s="11"/>
    </row>
    <row r="780" ht="12.75" customHeight="1">
      <c r="A780" s="11"/>
    </row>
    <row r="781" ht="12.75" customHeight="1">
      <c r="A781" s="11"/>
    </row>
    <row r="782" ht="12.75" customHeight="1">
      <c r="A782" s="11"/>
    </row>
    <row r="783" ht="12.75" customHeight="1">
      <c r="A783" s="11"/>
    </row>
    <row r="784" ht="12.75" customHeight="1">
      <c r="A784" s="11"/>
    </row>
    <row r="785" ht="12.75" customHeight="1">
      <c r="A785" s="11"/>
    </row>
    <row r="786" ht="12.75" customHeight="1">
      <c r="A786" s="11"/>
    </row>
    <row r="787" ht="12.75" customHeight="1">
      <c r="A787" s="11"/>
    </row>
    <row r="788" ht="12.75" customHeight="1">
      <c r="A788" s="11"/>
    </row>
    <row r="789" ht="12.75" customHeight="1">
      <c r="A789" s="11"/>
    </row>
    <row r="790" ht="12.75" customHeight="1">
      <c r="A790" s="11"/>
    </row>
    <row r="791" ht="12.75" customHeight="1">
      <c r="A791" s="11"/>
    </row>
    <row r="792" ht="12.75" customHeight="1">
      <c r="A792" s="11"/>
    </row>
    <row r="793" ht="12.75" customHeight="1">
      <c r="A793" s="11"/>
    </row>
    <row r="794" ht="12.75" customHeight="1">
      <c r="A794" s="11"/>
    </row>
    <row r="795" ht="12.75" customHeight="1">
      <c r="A795" s="11"/>
    </row>
    <row r="796" ht="12.75" customHeight="1">
      <c r="A796" s="11"/>
    </row>
    <row r="797" ht="12.75" customHeight="1">
      <c r="A797" s="11"/>
    </row>
    <row r="798" ht="12.75" customHeight="1">
      <c r="A798" s="11"/>
    </row>
    <row r="799" ht="12.75" customHeight="1">
      <c r="A799" s="11"/>
    </row>
    <row r="800" ht="12.75" customHeight="1">
      <c r="A800" s="11"/>
    </row>
    <row r="801" ht="12.75" customHeight="1">
      <c r="A801" s="11"/>
    </row>
    <row r="802" ht="12.75" customHeight="1">
      <c r="A802" s="11"/>
    </row>
    <row r="803" ht="12.75" customHeight="1">
      <c r="A803" s="11"/>
    </row>
    <row r="804" ht="12.75" customHeight="1">
      <c r="A804" s="11"/>
    </row>
    <row r="805" ht="12.75" customHeight="1">
      <c r="A805" s="11"/>
    </row>
    <row r="806" ht="12.75" customHeight="1">
      <c r="A806" s="11"/>
    </row>
    <row r="807" ht="12.75" customHeight="1">
      <c r="A807" s="11"/>
    </row>
    <row r="808" ht="12.75" customHeight="1">
      <c r="A808" s="11"/>
    </row>
    <row r="809" ht="12.75" customHeight="1">
      <c r="A809" s="11"/>
    </row>
    <row r="810" ht="12.75" customHeight="1">
      <c r="A810" s="11"/>
    </row>
    <row r="811" ht="12.75" customHeight="1">
      <c r="A811" s="11"/>
    </row>
    <row r="812" ht="12.75" customHeight="1">
      <c r="A812" s="11"/>
    </row>
    <row r="813" ht="12.75" customHeight="1">
      <c r="A813" s="11"/>
    </row>
    <row r="814" ht="12.75" customHeight="1">
      <c r="A814" s="11"/>
    </row>
    <row r="815" ht="12.75" customHeight="1">
      <c r="A815" s="11"/>
    </row>
    <row r="816" ht="12.75" customHeight="1">
      <c r="A816" s="11"/>
    </row>
    <row r="817" ht="12.75" customHeight="1">
      <c r="A817" s="11"/>
    </row>
    <row r="818" ht="12.75" customHeight="1">
      <c r="A818" s="11"/>
    </row>
    <row r="819" ht="12.75" customHeight="1">
      <c r="A819" s="11"/>
    </row>
    <row r="820" ht="12.75" customHeight="1">
      <c r="A820" s="11"/>
    </row>
    <row r="821" ht="12.75" customHeight="1">
      <c r="A821" s="11"/>
    </row>
    <row r="822" ht="12.75" customHeight="1">
      <c r="A822" s="11"/>
    </row>
    <row r="823" ht="12.75" customHeight="1">
      <c r="A823" s="11"/>
    </row>
    <row r="824" ht="12.75" customHeight="1">
      <c r="A824" s="11"/>
    </row>
    <row r="825" ht="12.75" customHeight="1">
      <c r="A825" s="11"/>
    </row>
    <row r="826" ht="12.75" customHeight="1">
      <c r="A826" s="11"/>
    </row>
    <row r="827" ht="12.75" customHeight="1">
      <c r="A827" s="11"/>
    </row>
    <row r="828" ht="12.75" customHeight="1">
      <c r="A828" s="11"/>
    </row>
    <row r="829" ht="12.75" customHeight="1">
      <c r="A829" s="11"/>
    </row>
    <row r="830" ht="12.75" customHeight="1">
      <c r="A830" s="11"/>
    </row>
    <row r="831" ht="12.75" customHeight="1">
      <c r="A831" s="11"/>
    </row>
    <row r="832" ht="12.75" customHeight="1">
      <c r="A832" s="11"/>
    </row>
    <row r="833" ht="12.75" customHeight="1">
      <c r="A833" s="11"/>
    </row>
    <row r="834" ht="12.75" customHeight="1">
      <c r="A834" s="11"/>
    </row>
    <row r="835" ht="12.75" customHeight="1">
      <c r="A835" s="11"/>
    </row>
    <row r="836" ht="12.75" customHeight="1">
      <c r="A836" s="11"/>
    </row>
    <row r="837" ht="12.75" customHeight="1">
      <c r="A837" s="11"/>
    </row>
    <row r="838" ht="12.75" customHeight="1">
      <c r="A838" s="11"/>
    </row>
    <row r="839" ht="12.75" customHeight="1">
      <c r="A839" s="11"/>
    </row>
    <row r="840" ht="12.75" customHeight="1">
      <c r="A840" s="11"/>
    </row>
    <row r="841" ht="12.75" customHeight="1">
      <c r="A841" s="11"/>
    </row>
    <row r="842" ht="12.75" customHeight="1">
      <c r="A842" s="11"/>
    </row>
    <row r="843" ht="12.75" customHeight="1">
      <c r="A843" s="11"/>
    </row>
    <row r="844" ht="12.75" customHeight="1">
      <c r="A844" s="11"/>
    </row>
    <row r="845" ht="12.75" customHeight="1">
      <c r="A845" s="11"/>
    </row>
    <row r="846" ht="12.75" customHeight="1">
      <c r="A846" s="11"/>
    </row>
    <row r="847" ht="12.75" customHeight="1">
      <c r="A847" s="11"/>
    </row>
    <row r="848" ht="12.75" customHeight="1">
      <c r="A848" s="11"/>
    </row>
    <row r="849" ht="12.75" customHeight="1">
      <c r="A849" s="11"/>
    </row>
    <row r="850" ht="12.75" customHeight="1">
      <c r="A850" s="11"/>
    </row>
    <row r="851" ht="12.75" customHeight="1">
      <c r="A851" s="11"/>
    </row>
    <row r="852" ht="12.75" customHeight="1">
      <c r="A852" s="11"/>
    </row>
    <row r="853" ht="12.75" customHeight="1">
      <c r="A853" s="11"/>
    </row>
    <row r="854" ht="12.75" customHeight="1">
      <c r="A854" s="11"/>
    </row>
    <row r="855" ht="12.75" customHeight="1">
      <c r="A855" s="11"/>
    </row>
    <row r="856" ht="12.75" customHeight="1">
      <c r="A856" s="11"/>
    </row>
    <row r="857" ht="12.75" customHeight="1">
      <c r="A857" s="11"/>
    </row>
    <row r="858" ht="12.75" customHeight="1">
      <c r="A858" s="11"/>
    </row>
    <row r="859" ht="12.75" customHeight="1">
      <c r="A859" s="11"/>
    </row>
    <row r="860" ht="12.75" customHeight="1">
      <c r="A860" s="11"/>
    </row>
    <row r="861" ht="12.75" customHeight="1">
      <c r="A861" s="11"/>
    </row>
    <row r="862" ht="12.75" customHeight="1">
      <c r="A862" s="11"/>
    </row>
    <row r="863" ht="12.75" customHeight="1">
      <c r="A863" s="11"/>
    </row>
    <row r="864" ht="12.75" customHeight="1">
      <c r="A864" s="11"/>
    </row>
    <row r="865" ht="12.75" customHeight="1">
      <c r="A865" s="11"/>
    </row>
    <row r="866" ht="12.75" customHeight="1">
      <c r="A866" s="11"/>
    </row>
    <row r="867" ht="12.75" customHeight="1">
      <c r="A867" s="11"/>
    </row>
    <row r="868" ht="12.75" customHeight="1">
      <c r="A868" s="11"/>
    </row>
    <row r="869" ht="12.75" customHeight="1">
      <c r="A869" s="11"/>
    </row>
    <row r="870" ht="12.75" customHeight="1">
      <c r="A870" s="11"/>
    </row>
    <row r="871" ht="12.75" customHeight="1">
      <c r="A871" s="11"/>
    </row>
    <row r="872" ht="12.75" customHeight="1">
      <c r="A872" s="11"/>
    </row>
    <row r="873" ht="12.75" customHeight="1">
      <c r="A873" s="11"/>
    </row>
    <row r="874" ht="12.75" customHeight="1">
      <c r="A874" s="11"/>
    </row>
    <row r="875" ht="12.75" customHeight="1">
      <c r="A875" s="11"/>
    </row>
    <row r="876" ht="12.75" customHeight="1">
      <c r="A876" s="11"/>
    </row>
    <row r="877" ht="12.75" customHeight="1">
      <c r="A877" s="11"/>
    </row>
    <row r="878" ht="12.75" customHeight="1">
      <c r="A878" s="11"/>
    </row>
    <row r="879" ht="12.75" customHeight="1">
      <c r="A879" s="11"/>
    </row>
    <row r="880" ht="12.75" customHeight="1">
      <c r="A880" s="11"/>
    </row>
    <row r="881" ht="12.75" customHeight="1">
      <c r="A881" s="11"/>
    </row>
    <row r="882" ht="12.75" customHeight="1">
      <c r="A882" s="11"/>
    </row>
    <row r="883" ht="12.75" customHeight="1">
      <c r="A883" s="11"/>
    </row>
    <row r="884" ht="12.75" customHeight="1">
      <c r="A884" s="11"/>
    </row>
    <row r="885" ht="12.75" customHeight="1">
      <c r="A885" s="11"/>
    </row>
    <row r="886" ht="12.75" customHeight="1">
      <c r="A886" s="11"/>
    </row>
    <row r="887" ht="12.75" customHeight="1">
      <c r="A887" s="11"/>
    </row>
    <row r="888" ht="12.75" customHeight="1">
      <c r="A888" s="11"/>
    </row>
    <row r="889" ht="12.75" customHeight="1">
      <c r="A889" s="11"/>
    </row>
    <row r="890" ht="12.75" customHeight="1">
      <c r="A890" s="11"/>
    </row>
    <row r="891" ht="12.75" customHeight="1">
      <c r="A891" s="11"/>
    </row>
    <row r="892" ht="12.75" customHeight="1">
      <c r="A892" s="11"/>
    </row>
    <row r="893" ht="12.75" customHeight="1">
      <c r="A893" s="11"/>
    </row>
    <row r="894" ht="12.75" customHeight="1">
      <c r="A894" s="11"/>
    </row>
    <row r="895" ht="12.75" customHeight="1">
      <c r="A895" s="11"/>
    </row>
    <row r="896" ht="12.75" customHeight="1">
      <c r="A896" s="11"/>
    </row>
    <row r="897" ht="12.75" customHeight="1">
      <c r="A897" s="11"/>
    </row>
    <row r="898" ht="12.75" customHeight="1">
      <c r="A898" s="11"/>
    </row>
    <row r="899" ht="12.75" customHeight="1">
      <c r="A899" s="11"/>
    </row>
    <row r="900" ht="12.75" customHeight="1">
      <c r="A900" s="11"/>
    </row>
    <row r="901" ht="12.75" customHeight="1">
      <c r="A901" s="11"/>
    </row>
    <row r="902" ht="12.75" customHeight="1">
      <c r="A902" s="11"/>
    </row>
    <row r="903" ht="12.75" customHeight="1">
      <c r="A903" s="11"/>
    </row>
    <row r="904" ht="12.75" customHeight="1">
      <c r="A904" s="11"/>
    </row>
    <row r="905" ht="12.75" customHeight="1">
      <c r="A905" s="11"/>
    </row>
    <row r="906" ht="12.75" customHeight="1">
      <c r="A906" s="11"/>
    </row>
    <row r="907" ht="12.75" customHeight="1">
      <c r="A907" s="11"/>
    </row>
    <row r="908" ht="12.75" customHeight="1">
      <c r="A908" s="11"/>
    </row>
    <row r="909" ht="12.75" customHeight="1">
      <c r="A909" s="11"/>
    </row>
    <row r="910" ht="12.75" customHeight="1">
      <c r="A910" s="11"/>
    </row>
    <row r="911" ht="12.75" customHeight="1">
      <c r="A911" s="11"/>
    </row>
    <row r="912" ht="12.75" customHeight="1">
      <c r="A912" s="11"/>
    </row>
    <row r="913" ht="12.75" customHeight="1">
      <c r="A913" s="11"/>
    </row>
    <row r="914" ht="12.75" customHeight="1">
      <c r="A914" s="11"/>
    </row>
    <row r="915" ht="12.75" customHeight="1">
      <c r="A915" s="11"/>
    </row>
    <row r="916" ht="12.75" customHeight="1">
      <c r="A916" s="11"/>
    </row>
    <row r="917" ht="12.75" customHeight="1">
      <c r="A917" s="11"/>
    </row>
    <row r="918" ht="12.75" customHeight="1">
      <c r="A918" s="11"/>
    </row>
    <row r="919" ht="12.75" customHeight="1">
      <c r="A919" s="11"/>
    </row>
    <row r="920" ht="12.75" customHeight="1">
      <c r="A920" s="11"/>
    </row>
    <row r="921" ht="12.75" customHeight="1">
      <c r="A921" s="11"/>
    </row>
    <row r="922" ht="12.75" customHeight="1">
      <c r="A922" s="11"/>
    </row>
    <row r="923" ht="12.75" customHeight="1">
      <c r="A923" s="11"/>
    </row>
    <row r="924" ht="12.75" customHeight="1">
      <c r="A924" s="11"/>
    </row>
    <row r="925" ht="12.75" customHeight="1">
      <c r="A925" s="11"/>
    </row>
    <row r="926" ht="12.75" customHeight="1">
      <c r="A926" s="11"/>
    </row>
    <row r="927" ht="12.75" customHeight="1">
      <c r="A927" s="11"/>
    </row>
    <row r="928" ht="12.75" customHeight="1">
      <c r="A928" s="11"/>
    </row>
    <row r="929" ht="12.75" customHeight="1">
      <c r="A929" s="11"/>
    </row>
    <row r="930" ht="12.75" customHeight="1">
      <c r="A930" s="11"/>
    </row>
    <row r="931" ht="12.75" customHeight="1">
      <c r="A931" s="11"/>
    </row>
    <row r="932" ht="12.75" customHeight="1">
      <c r="A932" s="11"/>
    </row>
    <row r="933" ht="12.75" customHeight="1">
      <c r="A933" s="11"/>
    </row>
    <row r="934" ht="12.75" customHeight="1">
      <c r="A934" s="11"/>
    </row>
    <row r="935" ht="12.75" customHeight="1">
      <c r="A935" s="11"/>
    </row>
    <row r="936" ht="12.75" customHeight="1">
      <c r="A936" s="11"/>
    </row>
    <row r="937" ht="12.75" customHeight="1">
      <c r="A937" s="11"/>
    </row>
    <row r="938" ht="12.75" customHeight="1">
      <c r="A938" s="11"/>
    </row>
    <row r="939" ht="12.75" customHeight="1">
      <c r="A939" s="11"/>
    </row>
    <row r="940" ht="12.75" customHeight="1">
      <c r="A940" s="11"/>
    </row>
    <row r="941" ht="12.75" customHeight="1">
      <c r="A941" s="11"/>
    </row>
    <row r="942" ht="12.75" customHeight="1">
      <c r="A942" s="11"/>
    </row>
    <row r="943" ht="12.75" customHeight="1">
      <c r="A943" s="11"/>
    </row>
    <row r="944" ht="12.75" customHeight="1">
      <c r="A944" s="11"/>
    </row>
    <row r="945" ht="12.75" customHeight="1">
      <c r="A945" s="11"/>
    </row>
    <row r="946" ht="12.75" customHeight="1">
      <c r="A946" s="11"/>
    </row>
    <row r="947" ht="12.75" customHeight="1">
      <c r="A947" s="11"/>
    </row>
    <row r="948" ht="12.75" customHeight="1">
      <c r="A948" s="11"/>
    </row>
    <row r="949" ht="12.75" customHeight="1">
      <c r="A949" s="11"/>
    </row>
    <row r="950" ht="12.75" customHeight="1">
      <c r="A950" s="11"/>
    </row>
    <row r="951" ht="12.75" customHeight="1">
      <c r="A951" s="11"/>
    </row>
    <row r="952" ht="12.75" customHeight="1">
      <c r="A952" s="11"/>
    </row>
    <row r="953" ht="12.75" customHeight="1">
      <c r="A953" s="11"/>
    </row>
    <row r="954" ht="12.75" customHeight="1">
      <c r="A954" s="11"/>
    </row>
    <row r="955" ht="12.75" customHeight="1">
      <c r="A955" s="11"/>
    </row>
    <row r="956" ht="12.75" customHeight="1">
      <c r="A956" s="11"/>
    </row>
    <row r="957" ht="12.75" customHeight="1">
      <c r="A957" s="11"/>
    </row>
    <row r="958" ht="12.75" customHeight="1">
      <c r="A958" s="11"/>
    </row>
    <row r="959" ht="12.75" customHeight="1">
      <c r="A959" s="11"/>
    </row>
    <row r="960" ht="12.75" customHeight="1">
      <c r="A960" s="11"/>
    </row>
    <row r="961" ht="12.75" customHeight="1">
      <c r="A961" s="11"/>
    </row>
    <row r="962" ht="12.75" customHeight="1">
      <c r="A962" s="11"/>
    </row>
    <row r="963" ht="12.75" customHeight="1">
      <c r="A963" s="11"/>
    </row>
    <row r="964" ht="12.75" customHeight="1">
      <c r="A964" s="11"/>
    </row>
    <row r="965" ht="12.75" customHeight="1">
      <c r="A965" s="11"/>
    </row>
    <row r="966" ht="12.75" customHeight="1">
      <c r="A966" s="11"/>
    </row>
    <row r="967" ht="12.75" customHeight="1">
      <c r="A967" s="11"/>
    </row>
    <row r="968" ht="12.75" customHeight="1">
      <c r="A968" s="11"/>
    </row>
    <row r="969" ht="12.75" customHeight="1">
      <c r="A969" s="11"/>
    </row>
    <row r="970" ht="12.75" customHeight="1">
      <c r="A970" s="11"/>
    </row>
    <row r="971" ht="12.75" customHeight="1">
      <c r="A971" s="11"/>
    </row>
    <row r="972" ht="12.75" customHeight="1">
      <c r="A972" s="11"/>
    </row>
    <row r="973" ht="12.75" customHeight="1">
      <c r="A973" s="11"/>
    </row>
    <row r="974" ht="12.75" customHeight="1">
      <c r="A974" s="11"/>
    </row>
    <row r="975" ht="12.75" customHeight="1">
      <c r="A975" s="11"/>
    </row>
    <row r="976" ht="12.75" customHeight="1">
      <c r="A976" s="11"/>
    </row>
    <row r="977" ht="12.75" customHeight="1">
      <c r="A977" s="11"/>
    </row>
    <row r="978" ht="12.75" customHeight="1">
      <c r="A978" s="11"/>
    </row>
    <row r="979" ht="12.75" customHeight="1">
      <c r="A979" s="11"/>
    </row>
    <row r="980" ht="12.75" customHeight="1">
      <c r="A980" s="11"/>
    </row>
    <row r="981" ht="12.75" customHeight="1">
      <c r="A981" s="11"/>
    </row>
    <row r="982" ht="12.75" customHeight="1">
      <c r="A982" s="11"/>
    </row>
    <row r="983" ht="12.75" customHeight="1">
      <c r="A983" s="11"/>
    </row>
    <row r="984" ht="12.75" customHeight="1">
      <c r="A984" s="11"/>
    </row>
    <row r="985" ht="12.75" customHeight="1">
      <c r="A985" s="11"/>
    </row>
    <row r="986" ht="12.75" customHeight="1">
      <c r="A986" s="11"/>
    </row>
    <row r="987" ht="12.75" customHeight="1">
      <c r="A987" s="11"/>
    </row>
    <row r="988" ht="12.75" customHeight="1">
      <c r="A988" s="11"/>
    </row>
    <row r="989" ht="12.75" customHeight="1">
      <c r="A989" s="11"/>
    </row>
    <row r="990" ht="12.75" customHeight="1">
      <c r="A990" s="11"/>
    </row>
    <row r="991" ht="12.75" customHeight="1">
      <c r="A991" s="11"/>
    </row>
    <row r="992" ht="12.75" customHeight="1">
      <c r="A992" s="11"/>
    </row>
    <row r="993" ht="12.75" customHeight="1">
      <c r="A993" s="11"/>
    </row>
    <row r="994" ht="12.75" customHeight="1">
      <c r="A994" s="11"/>
    </row>
    <row r="995" ht="12.75" customHeight="1"/>
    <row r="996" ht="12.75" customHeight="1"/>
    <row r="997" ht="12.75" customHeight="1"/>
  </sheetData>
  <dataValidations>
    <dataValidation type="list" allowBlank="1" showErrorMessage="1" sqref="A2:A994">
      <formula1>"Chickungunya,Zika,Both"</formula1>
    </dataValidation>
  </dataValidations>
  <printOptions/>
  <pageMargins bottom="0.0" footer="0.0" header="0.0" left="0.0" right="0.0" top="0.0"/>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88"/>
    <col customWidth="1" min="2" max="2" width="45.38"/>
    <col customWidth="1" min="3" max="3" width="18.88"/>
    <col customWidth="1" min="4" max="4" width="8.88"/>
    <col customWidth="1" min="5" max="5" width="14.25"/>
    <col customWidth="1" min="6" max="7" width="21.38"/>
    <col customWidth="1" min="8" max="8" width="35.75"/>
    <col customWidth="1" min="9" max="9" width="21.13"/>
    <col customWidth="1" min="10" max="10" width="24.25"/>
    <col customWidth="1" min="11" max="11" width="20.75"/>
    <col customWidth="1" min="12" max="12" width="24.63"/>
    <col customWidth="1" min="13" max="13" width="24.0"/>
    <col customWidth="1" min="14" max="14" width="27.0"/>
    <col customWidth="1" min="15" max="15" width="38.13"/>
    <col customWidth="1" min="16" max="16" width="33.13"/>
    <col customWidth="1" min="17" max="17" width="21.25"/>
    <col customWidth="1" min="18" max="18" width="20.0"/>
    <col customWidth="1" min="19" max="19" width="26.63"/>
    <col customWidth="1" min="20" max="20" width="21.88"/>
    <col customWidth="1" min="21" max="21" width="37.63"/>
    <col customWidth="1" min="22" max="22" width="24.75"/>
    <col customWidth="1" min="23" max="23" width="32.88"/>
    <col customWidth="1" min="24" max="24" width="34.38"/>
    <col customWidth="1" min="25" max="25" width="37.63"/>
  </cols>
  <sheetData>
    <row r="1" ht="22.5" customHeight="1">
      <c r="A1" s="13" t="s">
        <v>176</v>
      </c>
      <c r="B1" s="14" t="s">
        <v>177</v>
      </c>
      <c r="C1" s="14" t="s">
        <v>178</v>
      </c>
      <c r="D1" s="13" t="s">
        <v>179</v>
      </c>
      <c r="E1" s="14" t="s">
        <v>180</v>
      </c>
      <c r="F1" s="14" t="s">
        <v>181</v>
      </c>
      <c r="G1" s="15" t="s">
        <v>182</v>
      </c>
      <c r="H1" s="14" t="s">
        <v>183</v>
      </c>
      <c r="I1" s="15" t="s">
        <v>184</v>
      </c>
      <c r="J1" s="14" t="s">
        <v>185</v>
      </c>
      <c r="K1" s="14" t="s">
        <v>186</v>
      </c>
      <c r="L1" s="14" t="s">
        <v>187</v>
      </c>
      <c r="M1" s="14" t="s">
        <v>188</v>
      </c>
      <c r="N1" s="14" t="s">
        <v>189</v>
      </c>
      <c r="O1" s="14" t="s">
        <v>190</v>
      </c>
      <c r="P1" s="14" t="s">
        <v>191</v>
      </c>
      <c r="Q1" s="14" t="s">
        <v>192</v>
      </c>
      <c r="R1" s="14" t="s">
        <v>193</v>
      </c>
      <c r="S1" s="15" t="s">
        <v>194</v>
      </c>
      <c r="T1" s="13" t="s">
        <v>195</v>
      </c>
      <c r="U1" s="14" t="s">
        <v>196</v>
      </c>
      <c r="V1" s="14" t="s">
        <v>197</v>
      </c>
      <c r="W1" s="14" t="s">
        <v>198</v>
      </c>
      <c r="X1" s="14" t="s">
        <v>199</v>
      </c>
      <c r="Y1" s="14" t="s">
        <v>200</v>
      </c>
    </row>
    <row r="2" ht="22.5" customHeight="1">
      <c r="A2" s="16" t="s">
        <v>201</v>
      </c>
      <c r="B2" s="4" t="s">
        <v>202</v>
      </c>
      <c r="C2" s="4" t="s">
        <v>203</v>
      </c>
      <c r="D2" s="3">
        <v>2012.0</v>
      </c>
      <c r="E2" s="4" t="s">
        <v>204</v>
      </c>
      <c r="F2" s="4" t="s">
        <v>205</v>
      </c>
      <c r="G2" s="4" t="s">
        <v>206</v>
      </c>
      <c r="H2" s="4" t="s">
        <v>207</v>
      </c>
      <c r="I2" s="17" t="s">
        <v>208</v>
      </c>
      <c r="J2" s="18" t="s">
        <v>209</v>
      </c>
      <c r="K2" s="4" t="s">
        <v>210</v>
      </c>
      <c r="L2" s="4" t="s">
        <v>211</v>
      </c>
      <c r="M2" s="4" t="s">
        <v>212</v>
      </c>
      <c r="N2" s="4" t="s">
        <v>213</v>
      </c>
      <c r="O2" s="19" t="s">
        <v>214</v>
      </c>
      <c r="P2" s="4" t="s">
        <v>215</v>
      </c>
      <c r="Q2" s="4" t="s">
        <v>216</v>
      </c>
      <c r="R2" s="4" t="s">
        <v>215</v>
      </c>
      <c r="S2" s="4" t="s">
        <v>217</v>
      </c>
      <c r="T2" s="4" t="s">
        <v>215</v>
      </c>
      <c r="U2" s="4" t="s">
        <v>215</v>
      </c>
      <c r="V2" s="4" t="s">
        <v>218</v>
      </c>
      <c r="W2" s="4" t="s">
        <v>219</v>
      </c>
      <c r="X2" s="4" t="s">
        <v>220</v>
      </c>
      <c r="Y2" s="4" t="s">
        <v>221</v>
      </c>
    </row>
    <row r="3" ht="22.5" customHeight="1">
      <c r="A3" s="20" t="s">
        <v>222</v>
      </c>
      <c r="B3" s="21" t="s">
        <v>223</v>
      </c>
      <c r="C3" s="1" t="s">
        <v>224</v>
      </c>
      <c r="D3" s="22">
        <v>2025.0</v>
      </c>
      <c r="E3" s="23" t="s">
        <v>225</v>
      </c>
      <c r="F3" s="23" t="s">
        <v>226</v>
      </c>
      <c r="G3" s="4" t="s">
        <v>206</v>
      </c>
      <c r="H3" s="23" t="s">
        <v>227</v>
      </c>
      <c r="I3" s="24" t="s">
        <v>208</v>
      </c>
      <c r="J3" s="23" t="s">
        <v>228</v>
      </c>
      <c r="K3" s="23" t="s">
        <v>229</v>
      </c>
      <c r="L3" s="23" t="s">
        <v>230</v>
      </c>
      <c r="M3" s="23" t="s">
        <v>231</v>
      </c>
      <c r="N3" s="25" t="s">
        <v>232</v>
      </c>
      <c r="O3" s="26" t="s">
        <v>233</v>
      </c>
      <c r="P3" s="23" t="s">
        <v>234</v>
      </c>
      <c r="Q3" s="23" t="s">
        <v>235</v>
      </c>
      <c r="R3" s="23" t="s">
        <v>215</v>
      </c>
      <c r="S3" s="23" t="s">
        <v>236</v>
      </c>
      <c r="T3" s="23" t="s">
        <v>215</v>
      </c>
      <c r="U3" s="23" t="s">
        <v>237</v>
      </c>
      <c r="V3" s="23" t="s">
        <v>238</v>
      </c>
      <c r="W3" s="23" t="s">
        <v>215</v>
      </c>
      <c r="X3" s="23" t="s">
        <v>239</v>
      </c>
      <c r="Y3" s="23" t="s">
        <v>240</v>
      </c>
      <c r="Z3" s="27"/>
      <c r="AA3" s="27"/>
      <c r="AB3" s="27"/>
      <c r="AC3" s="27"/>
    </row>
    <row r="4" ht="22.5" customHeight="1">
      <c r="A4" s="28" t="s">
        <v>241</v>
      </c>
      <c r="B4" s="4" t="s">
        <v>242</v>
      </c>
      <c r="C4" s="4" t="s">
        <v>243</v>
      </c>
      <c r="D4" s="3">
        <v>2016.0</v>
      </c>
      <c r="E4" s="4" t="s">
        <v>244</v>
      </c>
      <c r="F4" s="4" t="s">
        <v>245</v>
      </c>
      <c r="G4" s="4" t="s">
        <v>206</v>
      </c>
      <c r="H4" s="4" t="s">
        <v>246</v>
      </c>
      <c r="I4" s="17"/>
      <c r="J4" s="4" t="s">
        <v>247</v>
      </c>
      <c r="K4" s="4" t="s">
        <v>248</v>
      </c>
      <c r="L4" s="4" t="s">
        <v>249</v>
      </c>
      <c r="M4" s="4" t="s">
        <v>250</v>
      </c>
      <c r="N4" s="4" t="s">
        <v>251</v>
      </c>
      <c r="O4" s="19" t="s">
        <v>214</v>
      </c>
      <c r="P4" s="4" t="s">
        <v>215</v>
      </c>
      <c r="Q4" s="4" t="s">
        <v>252</v>
      </c>
      <c r="R4" s="4" t="s">
        <v>215</v>
      </c>
      <c r="S4" s="4" t="s">
        <v>215</v>
      </c>
      <c r="T4" s="4" t="s">
        <v>215</v>
      </c>
      <c r="U4" s="4" t="s">
        <v>253</v>
      </c>
      <c r="V4" s="4" t="s">
        <v>254</v>
      </c>
      <c r="W4" s="4" t="s">
        <v>255</v>
      </c>
      <c r="X4" s="4" t="s">
        <v>256</v>
      </c>
      <c r="Y4" s="4" t="s">
        <v>257</v>
      </c>
    </row>
    <row r="5" ht="22.5" customHeight="1">
      <c r="A5" s="28" t="s">
        <v>258</v>
      </c>
      <c r="B5" s="4" t="s">
        <v>259</v>
      </c>
      <c r="C5" s="4" t="s">
        <v>260</v>
      </c>
      <c r="D5" s="3">
        <v>2026.0</v>
      </c>
      <c r="E5" s="4" t="s">
        <v>261</v>
      </c>
      <c r="F5" s="4" t="s">
        <v>262</v>
      </c>
      <c r="G5" s="4" t="s">
        <v>206</v>
      </c>
      <c r="H5" s="4" t="s">
        <v>263</v>
      </c>
      <c r="I5" s="17" t="s">
        <v>208</v>
      </c>
      <c r="J5" s="4" t="s">
        <v>264</v>
      </c>
      <c r="K5" s="4" t="s">
        <v>215</v>
      </c>
      <c r="L5" s="4" t="s">
        <v>265</v>
      </c>
      <c r="M5" s="4" t="s">
        <v>266</v>
      </c>
      <c r="N5" s="4" t="s">
        <v>251</v>
      </c>
      <c r="O5" s="19" t="s">
        <v>267</v>
      </c>
      <c r="P5" s="4" t="s">
        <v>268</v>
      </c>
      <c r="Q5" s="4" t="s">
        <v>269</v>
      </c>
      <c r="R5" s="4" t="s">
        <v>270</v>
      </c>
      <c r="S5" s="4" t="s">
        <v>271</v>
      </c>
      <c r="T5" s="4" t="s">
        <v>215</v>
      </c>
      <c r="U5" s="4" t="s">
        <v>215</v>
      </c>
      <c r="V5" s="4" t="s">
        <v>272</v>
      </c>
      <c r="W5" s="4" t="s">
        <v>273</v>
      </c>
      <c r="X5" s="4" t="s">
        <v>274</v>
      </c>
      <c r="Y5" s="4" t="s">
        <v>275</v>
      </c>
    </row>
    <row r="6" ht="22.5" customHeight="1">
      <c r="A6" s="29" t="s">
        <v>276</v>
      </c>
      <c r="B6" s="4" t="s">
        <v>277</v>
      </c>
      <c r="C6" s="4" t="s">
        <v>278</v>
      </c>
      <c r="D6" s="3">
        <v>2016.0</v>
      </c>
      <c r="E6" s="4" t="s">
        <v>279</v>
      </c>
      <c r="F6" s="4" t="s">
        <v>280</v>
      </c>
      <c r="G6" s="4" t="s">
        <v>281</v>
      </c>
      <c r="H6" s="4" t="s">
        <v>282</v>
      </c>
      <c r="I6" s="17" t="s">
        <v>283</v>
      </c>
      <c r="J6" s="4" t="s">
        <v>284</v>
      </c>
      <c r="K6" s="4" t="s">
        <v>285</v>
      </c>
      <c r="L6" s="4" t="s">
        <v>286</v>
      </c>
      <c r="M6" s="4" t="s">
        <v>287</v>
      </c>
      <c r="N6" s="4" t="s">
        <v>288</v>
      </c>
      <c r="O6" s="19" t="s">
        <v>289</v>
      </c>
      <c r="P6" s="4" t="s">
        <v>215</v>
      </c>
      <c r="Q6" s="4" t="s">
        <v>215</v>
      </c>
      <c r="R6" s="4" t="s">
        <v>290</v>
      </c>
      <c r="S6" s="4" t="s">
        <v>215</v>
      </c>
      <c r="T6" s="4" t="s">
        <v>291</v>
      </c>
      <c r="U6" s="4" t="s">
        <v>292</v>
      </c>
      <c r="V6" s="4" t="s">
        <v>293</v>
      </c>
      <c r="W6" s="4" t="s">
        <v>294</v>
      </c>
      <c r="X6" s="4" t="s">
        <v>295</v>
      </c>
      <c r="Y6" s="4"/>
    </row>
    <row r="7" ht="22.5" customHeight="1">
      <c r="A7" s="28" t="s">
        <v>296</v>
      </c>
      <c r="B7" s="4" t="s">
        <v>297</v>
      </c>
      <c r="C7" s="4" t="s">
        <v>298</v>
      </c>
      <c r="D7" s="3">
        <v>2019.0</v>
      </c>
      <c r="E7" s="4" t="s">
        <v>299</v>
      </c>
      <c r="F7" s="4" t="s">
        <v>300</v>
      </c>
      <c r="G7" s="4" t="s">
        <v>281</v>
      </c>
      <c r="H7" s="4" t="s">
        <v>301</v>
      </c>
      <c r="I7" s="17" t="s">
        <v>302</v>
      </c>
      <c r="J7" s="4" t="s">
        <v>303</v>
      </c>
      <c r="K7" s="4" t="s">
        <v>215</v>
      </c>
      <c r="L7" s="4"/>
      <c r="M7" s="4" t="s">
        <v>304</v>
      </c>
      <c r="N7" s="4" t="s">
        <v>305</v>
      </c>
      <c r="O7" s="19" t="s">
        <v>306</v>
      </c>
      <c r="P7" s="4" t="s">
        <v>215</v>
      </c>
      <c r="Q7" s="4" t="s">
        <v>215</v>
      </c>
      <c r="R7" s="4" t="s">
        <v>215</v>
      </c>
      <c r="S7" s="4" t="s">
        <v>215</v>
      </c>
      <c r="T7" s="4" t="s">
        <v>215</v>
      </c>
      <c r="U7" s="4" t="s">
        <v>215</v>
      </c>
      <c r="V7" s="4" t="s">
        <v>293</v>
      </c>
      <c r="W7" s="4" t="s">
        <v>307</v>
      </c>
      <c r="X7" s="4" t="s">
        <v>308</v>
      </c>
      <c r="Y7" s="4" t="s">
        <v>309</v>
      </c>
    </row>
    <row r="8" ht="22.5" customHeight="1">
      <c r="A8" s="28" t="s">
        <v>310</v>
      </c>
      <c r="B8" s="4" t="s">
        <v>311</v>
      </c>
      <c r="C8" s="4" t="s">
        <v>312</v>
      </c>
      <c r="D8" s="3">
        <v>2020.0</v>
      </c>
      <c r="E8" s="4" t="s">
        <v>313</v>
      </c>
      <c r="F8" s="4" t="s">
        <v>314</v>
      </c>
      <c r="G8" s="4" t="s">
        <v>281</v>
      </c>
      <c r="H8" s="4" t="s">
        <v>315</v>
      </c>
      <c r="I8" s="17" t="s">
        <v>302</v>
      </c>
      <c r="J8" s="4" t="s">
        <v>316</v>
      </c>
      <c r="K8" s="4" t="s">
        <v>215</v>
      </c>
      <c r="L8" s="4" t="s">
        <v>317</v>
      </c>
      <c r="M8" s="4" t="s">
        <v>318</v>
      </c>
      <c r="N8" s="4" t="s">
        <v>319</v>
      </c>
      <c r="O8" s="19" t="s">
        <v>320</v>
      </c>
      <c r="P8" s="4" t="s">
        <v>215</v>
      </c>
      <c r="Q8" s="4" t="s">
        <v>215</v>
      </c>
      <c r="R8" s="4" t="s">
        <v>321</v>
      </c>
      <c r="S8" s="4" t="s">
        <v>215</v>
      </c>
      <c r="T8" s="4" t="s">
        <v>215</v>
      </c>
      <c r="U8" s="4" t="s">
        <v>215</v>
      </c>
      <c r="V8" s="4" t="s">
        <v>322</v>
      </c>
      <c r="W8" s="4" t="s">
        <v>323</v>
      </c>
      <c r="X8" s="4" t="s">
        <v>324</v>
      </c>
      <c r="Y8" s="4" t="s">
        <v>325</v>
      </c>
    </row>
    <row r="9" ht="22.5" customHeight="1">
      <c r="A9" s="28" t="s">
        <v>326</v>
      </c>
      <c r="B9" s="4" t="s">
        <v>327</v>
      </c>
      <c r="C9" s="4" t="s">
        <v>328</v>
      </c>
      <c r="D9" s="3">
        <v>2020.0</v>
      </c>
      <c r="E9" s="4" t="s">
        <v>329</v>
      </c>
      <c r="F9" s="4" t="s">
        <v>330</v>
      </c>
      <c r="G9" s="4" t="s">
        <v>281</v>
      </c>
      <c r="H9" s="4" t="s">
        <v>331</v>
      </c>
      <c r="I9" s="17" t="s">
        <v>208</v>
      </c>
      <c r="J9" s="4" t="s">
        <v>332</v>
      </c>
      <c r="K9" s="4" t="s">
        <v>215</v>
      </c>
      <c r="L9" s="4" t="s">
        <v>317</v>
      </c>
      <c r="M9" s="4" t="s">
        <v>333</v>
      </c>
      <c r="N9" s="4" t="s">
        <v>334</v>
      </c>
      <c r="O9" s="19" t="s">
        <v>94</v>
      </c>
      <c r="P9" s="4" t="s">
        <v>335</v>
      </c>
      <c r="Q9" s="4" t="s">
        <v>215</v>
      </c>
      <c r="R9" s="4" t="s">
        <v>215</v>
      </c>
      <c r="S9" s="4" t="s">
        <v>215</v>
      </c>
      <c r="T9" s="4" t="s">
        <v>336</v>
      </c>
      <c r="U9" s="4" t="s">
        <v>337</v>
      </c>
      <c r="V9" s="4" t="s">
        <v>338</v>
      </c>
      <c r="W9" s="4" t="s">
        <v>339</v>
      </c>
      <c r="X9" s="4" t="s">
        <v>340</v>
      </c>
      <c r="Y9" s="4" t="s">
        <v>341</v>
      </c>
    </row>
    <row r="10" ht="22.5" customHeight="1">
      <c r="A10" s="28" t="s">
        <v>342</v>
      </c>
      <c r="B10" s="4" t="s">
        <v>343</v>
      </c>
      <c r="C10" s="4" t="s">
        <v>344</v>
      </c>
      <c r="D10" s="3">
        <v>2023.0</v>
      </c>
      <c r="E10" s="4" t="s">
        <v>345</v>
      </c>
      <c r="F10" s="4" t="s">
        <v>346</v>
      </c>
      <c r="G10" s="4" t="s">
        <v>281</v>
      </c>
      <c r="H10" s="4" t="s">
        <v>347</v>
      </c>
      <c r="I10" s="17" t="s">
        <v>302</v>
      </c>
      <c r="J10" s="4" t="s">
        <v>348</v>
      </c>
      <c r="K10" s="4" t="s">
        <v>349</v>
      </c>
      <c r="L10" s="4" t="s">
        <v>350</v>
      </c>
      <c r="M10" s="4" t="s">
        <v>351</v>
      </c>
      <c r="N10" s="4" t="s">
        <v>352</v>
      </c>
      <c r="O10" s="19" t="s">
        <v>353</v>
      </c>
      <c r="P10" s="4" t="s">
        <v>354</v>
      </c>
      <c r="Q10" s="4" t="s">
        <v>215</v>
      </c>
      <c r="R10" s="4" t="s">
        <v>355</v>
      </c>
      <c r="S10" s="4" t="s">
        <v>356</v>
      </c>
      <c r="T10" s="4" t="s">
        <v>357</v>
      </c>
      <c r="U10" s="4" t="s">
        <v>358</v>
      </c>
      <c r="V10" s="4" t="s">
        <v>359</v>
      </c>
      <c r="W10" s="4"/>
      <c r="X10" s="4" t="s">
        <v>360</v>
      </c>
      <c r="Y10" s="4" t="s">
        <v>361</v>
      </c>
    </row>
    <row r="11" ht="22.5" customHeight="1">
      <c r="A11" s="28" t="s">
        <v>362</v>
      </c>
      <c r="B11" s="4" t="s">
        <v>363</v>
      </c>
      <c r="C11" s="4" t="s">
        <v>364</v>
      </c>
      <c r="D11" s="3">
        <v>2025.0</v>
      </c>
      <c r="E11" s="4" t="s">
        <v>365</v>
      </c>
      <c r="F11" s="4" t="s">
        <v>366</v>
      </c>
      <c r="G11" s="4" t="s">
        <v>206</v>
      </c>
      <c r="H11" s="4" t="s">
        <v>367</v>
      </c>
      <c r="I11" s="17" t="s">
        <v>302</v>
      </c>
      <c r="J11" s="4" t="s">
        <v>215</v>
      </c>
      <c r="K11" s="4" t="s">
        <v>215</v>
      </c>
      <c r="L11" s="4" t="s">
        <v>368</v>
      </c>
      <c r="M11" s="4" t="s">
        <v>369</v>
      </c>
      <c r="N11" s="4" t="s">
        <v>370</v>
      </c>
      <c r="O11" s="19" t="s">
        <v>371</v>
      </c>
      <c r="P11" s="4" t="s">
        <v>372</v>
      </c>
      <c r="Q11" s="4" t="s">
        <v>215</v>
      </c>
      <c r="R11" s="4" t="s">
        <v>215</v>
      </c>
      <c r="S11" s="4" t="s">
        <v>373</v>
      </c>
      <c r="T11" s="4" t="s">
        <v>215</v>
      </c>
      <c r="U11" s="4" t="s">
        <v>374</v>
      </c>
      <c r="V11" s="4" t="s">
        <v>375</v>
      </c>
      <c r="W11" s="4" t="s">
        <v>376</v>
      </c>
      <c r="X11" s="4" t="s">
        <v>377</v>
      </c>
      <c r="Y11" s="4" t="s">
        <v>378</v>
      </c>
    </row>
    <row r="12" ht="22.5" customHeight="1">
      <c r="A12" s="28" t="s">
        <v>379</v>
      </c>
      <c r="B12" s="4" t="s">
        <v>380</v>
      </c>
      <c r="C12" s="4" t="s">
        <v>381</v>
      </c>
      <c r="D12" s="3">
        <v>2014.0</v>
      </c>
      <c r="E12" s="4" t="s">
        <v>225</v>
      </c>
      <c r="F12" s="4" t="s">
        <v>382</v>
      </c>
      <c r="G12" s="4" t="s">
        <v>383</v>
      </c>
      <c r="H12" s="30" t="s">
        <v>384</v>
      </c>
      <c r="I12" s="17" t="s">
        <v>283</v>
      </c>
      <c r="J12" s="4" t="s">
        <v>385</v>
      </c>
      <c r="K12" s="4"/>
      <c r="L12" s="4" t="s">
        <v>386</v>
      </c>
      <c r="M12" s="4" t="s">
        <v>387</v>
      </c>
      <c r="N12" s="4" t="s">
        <v>251</v>
      </c>
      <c r="O12" s="19" t="s">
        <v>388</v>
      </c>
      <c r="P12" s="4" t="s">
        <v>215</v>
      </c>
      <c r="Q12" s="4" t="s">
        <v>389</v>
      </c>
      <c r="R12" s="4" t="s">
        <v>215</v>
      </c>
      <c r="S12" s="4" t="s">
        <v>390</v>
      </c>
      <c r="T12" s="4" t="s">
        <v>215</v>
      </c>
      <c r="U12" s="4" t="s">
        <v>391</v>
      </c>
      <c r="V12" s="4" t="s">
        <v>392</v>
      </c>
      <c r="W12" s="4" t="s">
        <v>393</v>
      </c>
      <c r="X12" s="4" t="s">
        <v>394</v>
      </c>
      <c r="Y12" s="4" t="s">
        <v>395</v>
      </c>
    </row>
    <row r="13" ht="22.5" customHeight="1">
      <c r="A13" s="31" t="s">
        <v>396</v>
      </c>
      <c r="B13" s="4" t="s">
        <v>397</v>
      </c>
      <c r="C13" s="4" t="s">
        <v>398</v>
      </c>
      <c r="D13" s="3">
        <v>2011.0</v>
      </c>
      <c r="E13" s="4" t="s">
        <v>399</v>
      </c>
      <c r="F13" s="4" t="s">
        <v>400</v>
      </c>
      <c r="G13" s="4" t="s">
        <v>206</v>
      </c>
      <c r="H13" s="4" t="s">
        <v>401</v>
      </c>
      <c r="I13" s="17" t="s">
        <v>283</v>
      </c>
      <c r="J13" s="4" t="s">
        <v>402</v>
      </c>
      <c r="K13" s="4" t="s">
        <v>403</v>
      </c>
      <c r="L13" s="4" t="s">
        <v>404</v>
      </c>
      <c r="M13" s="4" t="s">
        <v>405</v>
      </c>
      <c r="N13" s="4" t="s">
        <v>406</v>
      </c>
      <c r="O13" s="19" t="s">
        <v>214</v>
      </c>
      <c r="P13" s="4" t="s">
        <v>407</v>
      </c>
      <c r="Q13" s="4" t="s">
        <v>215</v>
      </c>
      <c r="R13" s="4" t="s">
        <v>215</v>
      </c>
      <c r="S13" s="4" t="s">
        <v>408</v>
      </c>
      <c r="T13" s="4" t="s">
        <v>215</v>
      </c>
      <c r="U13" s="4" t="s">
        <v>215</v>
      </c>
      <c r="V13" s="4" t="s">
        <v>409</v>
      </c>
      <c r="W13" s="4" t="s">
        <v>410</v>
      </c>
      <c r="X13" s="4" t="s">
        <v>411</v>
      </c>
      <c r="Y13" s="4" t="s">
        <v>412</v>
      </c>
    </row>
    <row r="14" ht="22.5" customHeight="1">
      <c r="A14" s="28" t="s">
        <v>413</v>
      </c>
      <c r="B14" s="4" t="s">
        <v>414</v>
      </c>
      <c r="C14" s="4" t="s">
        <v>415</v>
      </c>
      <c r="D14" s="3">
        <v>2015.0</v>
      </c>
      <c r="E14" s="4" t="s">
        <v>416</v>
      </c>
      <c r="F14" s="4" t="s">
        <v>417</v>
      </c>
      <c r="G14" s="4" t="s">
        <v>418</v>
      </c>
      <c r="H14" s="4" t="s">
        <v>419</v>
      </c>
      <c r="I14" s="17" t="s">
        <v>283</v>
      </c>
      <c r="J14" s="4" t="s">
        <v>420</v>
      </c>
      <c r="K14" s="4" t="s">
        <v>215</v>
      </c>
      <c r="L14" s="4" t="s">
        <v>317</v>
      </c>
      <c r="M14" s="4" t="s">
        <v>421</v>
      </c>
      <c r="N14" s="4" t="s">
        <v>213</v>
      </c>
      <c r="O14" s="19" t="s">
        <v>422</v>
      </c>
      <c r="P14" s="4" t="s">
        <v>215</v>
      </c>
      <c r="Q14" s="4" t="s">
        <v>215</v>
      </c>
      <c r="R14" s="4" t="s">
        <v>215</v>
      </c>
      <c r="S14" s="4" t="s">
        <v>423</v>
      </c>
      <c r="T14" s="4" t="s">
        <v>215</v>
      </c>
      <c r="U14" s="4" t="s">
        <v>215</v>
      </c>
      <c r="V14" s="4" t="s">
        <v>424</v>
      </c>
      <c r="W14" s="4" t="s">
        <v>425</v>
      </c>
      <c r="X14" s="4" t="s">
        <v>426</v>
      </c>
      <c r="Y14" s="4"/>
    </row>
    <row r="15" ht="22.5" customHeight="1">
      <c r="A15" s="28" t="s">
        <v>427</v>
      </c>
      <c r="B15" s="4" t="s">
        <v>428</v>
      </c>
      <c r="C15" s="4" t="s">
        <v>429</v>
      </c>
      <c r="D15" s="3">
        <v>2024.0</v>
      </c>
      <c r="E15" s="4" t="s">
        <v>430</v>
      </c>
      <c r="F15" s="4" t="s">
        <v>431</v>
      </c>
      <c r="G15" s="4" t="s">
        <v>281</v>
      </c>
      <c r="H15" s="4" t="s">
        <v>432</v>
      </c>
      <c r="I15" s="17" t="s">
        <v>283</v>
      </c>
      <c r="J15" s="4" t="s">
        <v>433</v>
      </c>
      <c r="K15" s="4" t="s">
        <v>434</v>
      </c>
      <c r="L15" s="4" t="s">
        <v>368</v>
      </c>
      <c r="M15" s="4" t="s">
        <v>435</v>
      </c>
      <c r="N15" s="4" t="s">
        <v>232</v>
      </c>
      <c r="O15" s="19" t="s">
        <v>436</v>
      </c>
      <c r="P15" s="4" t="s">
        <v>437</v>
      </c>
      <c r="Q15" s="4" t="s">
        <v>438</v>
      </c>
      <c r="R15" s="4" t="s">
        <v>439</v>
      </c>
      <c r="S15" s="4" t="s">
        <v>440</v>
      </c>
      <c r="T15" s="4" t="s">
        <v>441</v>
      </c>
      <c r="U15" s="4" t="s">
        <v>442</v>
      </c>
      <c r="V15" s="4" t="s">
        <v>392</v>
      </c>
      <c r="W15" s="4" t="s">
        <v>443</v>
      </c>
      <c r="X15" s="4" t="s">
        <v>444</v>
      </c>
      <c r="Y15" s="4"/>
    </row>
    <row r="16" ht="22.5" customHeight="1">
      <c r="A16" s="28" t="s">
        <v>445</v>
      </c>
      <c r="B16" s="4" t="s">
        <v>446</v>
      </c>
      <c r="C16" s="4" t="s">
        <v>447</v>
      </c>
      <c r="D16" s="3">
        <v>2021.0</v>
      </c>
      <c r="E16" s="4" t="s">
        <v>448</v>
      </c>
      <c r="F16" s="4" t="s">
        <v>449</v>
      </c>
      <c r="G16" s="4" t="s">
        <v>450</v>
      </c>
      <c r="H16" s="4" t="s">
        <v>451</v>
      </c>
      <c r="I16" s="17" t="s">
        <v>283</v>
      </c>
      <c r="J16" s="4" t="s">
        <v>452</v>
      </c>
      <c r="K16" s="4" t="s">
        <v>215</v>
      </c>
      <c r="L16" s="4" t="s">
        <v>317</v>
      </c>
      <c r="M16" s="4" t="s">
        <v>453</v>
      </c>
      <c r="N16" s="4" t="s">
        <v>454</v>
      </c>
      <c r="O16" s="19" t="s">
        <v>165</v>
      </c>
      <c r="P16" s="4" t="s">
        <v>215</v>
      </c>
      <c r="Q16" s="4" t="s">
        <v>215</v>
      </c>
      <c r="R16" s="4" t="s">
        <v>215</v>
      </c>
      <c r="S16" s="4" t="s">
        <v>455</v>
      </c>
      <c r="T16" s="4" t="s">
        <v>215</v>
      </c>
      <c r="U16" s="4" t="s">
        <v>215</v>
      </c>
      <c r="V16" s="4" t="s">
        <v>456</v>
      </c>
      <c r="W16" s="4" t="s">
        <v>457</v>
      </c>
      <c r="X16" s="4"/>
      <c r="Y16" s="4" t="s">
        <v>458</v>
      </c>
    </row>
    <row r="17" ht="22.5" customHeight="1">
      <c r="A17" s="28" t="s">
        <v>459</v>
      </c>
      <c r="B17" s="4" t="s">
        <v>460</v>
      </c>
      <c r="C17" s="4" t="s">
        <v>461</v>
      </c>
      <c r="D17" s="3">
        <v>2017.0</v>
      </c>
      <c r="E17" s="4" t="s">
        <v>462</v>
      </c>
      <c r="F17" s="4" t="s">
        <v>463</v>
      </c>
      <c r="G17" s="4" t="s">
        <v>450</v>
      </c>
      <c r="H17" s="4" t="s">
        <v>464</v>
      </c>
      <c r="I17" s="17" t="s">
        <v>283</v>
      </c>
      <c r="J17" s="4" t="s">
        <v>465</v>
      </c>
      <c r="K17" s="4" t="s">
        <v>215</v>
      </c>
      <c r="L17" s="4" t="s">
        <v>466</v>
      </c>
      <c r="M17" s="4" t="s">
        <v>467</v>
      </c>
      <c r="N17" s="4" t="s">
        <v>232</v>
      </c>
      <c r="O17" s="19" t="s">
        <v>468</v>
      </c>
      <c r="P17" s="4" t="s">
        <v>215</v>
      </c>
      <c r="Q17" s="4" t="s">
        <v>469</v>
      </c>
      <c r="R17" s="4" t="s">
        <v>470</v>
      </c>
      <c r="S17" s="4" t="s">
        <v>471</v>
      </c>
      <c r="T17" s="4" t="s">
        <v>215</v>
      </c>
      <c r="U17" s="4" t="s">
        <v>215</v>
      </c>
      <c r="V17" s="4" t="s">
        <v>456</v>
      </c>
      <c r="W17" s="4" t="s">
        <v>472</v>
      </c>
      <c r="X17" s="4" t="s">
        <v>473</v>
      </c>
      <c r="Y17" s="4" t="s">
        <v>474</v>
      </c>
    </row>
    <row r="18" ht="15.75" customHeight="1">
      <c r="B18" s="12"/>
      <c r="C18" s="12"/>
      <c r="D18" s="27"/>
      <c r="F18" s="12"/>
      <c r="G18" s="12"/>
      <c r="L18" s="12"/>
      <c r="O18" s="32"/>
    </row>
    <row r="19" ht="15.75" customHeight="1">
      <c r="B19" s="12"/>
      <c r="C19" s="12"/>
      <c r="D19" s="27"/>
      <c r="F19" s="12"/>
      <c r="G19" s="12"/>
      <c r="L19" s="12"/>
      <c r="O19" s="32"/>
    </row>
    <row r="20" ht="15.75" customHeight="1">
      <c r="B20" s="12"/>
      <c r="C20" s="12"/>
      <c r="D20" s="27"/>
      <c r="F20" s="12"/>
      <c r="G20" s="12"/>
      <c r="L20" s="12"/>
      <c r="O20" s="32"/>
    </row>
    <row r="21" ht="15.75" customHeight="1">
      <c r="B21" s="12"/>
      <c r="C21" s="12"/>
      <c r="D21" s="27"/>
      <c r="F21" s="12"/>
      <c r="G21" s="12"/>
      <c r="L21" s="12"/>
      <c r="O21" s="32"/>
    </row>
    <row r="22" ht="15.75" customHeight="1">
      <c r="B22" s="12"/>
      <c r="C22" s="12"/>
      <c r="D22" s="27"/>
      <c r="F22" s="12"/>
      <c r="G22" s="12"/>
      <c r="L22" s="12"/>
      <c r="O22" s="32"/>
    </row>
    <row r="23" ht="15.75" customHeight="1">
      <c r="B23" s="12"/>
      <c r="C23" s="12"/>
      <c r="D23" s="27"/>
      <c r="F23" s="12"/>
      <c r="G23" s="12"/>
      <c r="L23" s="12"/>
      <c r="O23" s="32"/>
    </row>
    <row r="24" ht="15.75" customHeight="1">
      <c r="B24" s="12"/>
      <c r="C24" s="12"/>
      <c r="D24" s="27"/>
      <c r="F24" s="12"/>
      <c r="G24" s="12"/>
      <c r="L24" s="12"/>
      <c r="O24" s="32"/>
    </row>
    <row r="25" ht="15.75" customHeight="1">
      <c r="B25" s="12"/>
      <c r="C25" s="12"/>
      <c r="D25" s="27"/>
      <c r="F25" s="12"/>
      <c r="G25" s="12"/>
      <c r="L25" s="12"/>
      <c r="O25" s="32"/>
    </row>
    <row r="26" ht="15.75" customHeight="1">
      <c r="B26" s="12"/>
      <c r="C26" s="12"/>
      <c r="D26" s="27"/>
      <c r="F26" s="12"/>
      <c r="G26" s="12"/>
      <c r="L26" s="12"/>
      <c r="O26" s="32"/>
    </row>
    <row r="27" ht="15.75" customHeight="1">
      <c r="B27" s="12"/>
      <c r="C27" s="12"/>
      <c r="D27" s="27"/>
      <c r="F27" s="12"/>
      <c r="G27" s="12"/>
      <c r="L27" s="12"/>
      <c r="O27" s="32"/>
    </row>
    <row r="28" ht="15.75" customHeight="1">
      <c r="B28" s="12"/>
      <c r="C28" s="12"/>
      <c r="D28" s="27"/>
      <c r="F28" s="12"/>
      <c r="G28" s="12"/>
      <c r="L28" s="12"/>
      <c r="O28" s="32"/>
    </row>
    <row r="29" ht="15.75" customHeight="1">
      <c r="B29" s="12"/>
      <c r="C29" s="12"/>
      <c r="D29" s="27"/>
      <c r="F29" s="12"/>
      <c r="G29" s="12"/>
      <c r="L29" s="12"/>
      <c r="O29" s="32"/>
    </row>
    <row r="30" ht="15.75" customHeight="1">
      <c r="B30" s="12"/>
      <c r="C30" s="12"/>
      <c r="D30" s="27"/>
      <c r="F30" s="12"/>
      <c r="G30" s="12"/>
      <c r="L30" s="12"/>
      <c r="O30" s="32"/>
    </row>
    <row r="31" ht="15.75" customHeight="1">
      <c r="B31" s="12"/>
      <c r="C31" s="12"/>
      <c r="D31" s="27"/>
      <c r="F31" s="12"/>
      <c r="G31" s="12"/>
      <c r="L31" s="12"/>
      <c r="O31" s="32"/>
    </row>
    <row r="32" ht="15.75" customHeight="1">
      <c r="B32" s="12"/>
      <c r="C32" s="12"/>
      <c r="D32" s="27"/>
      <c r="F32" s="12"/>
      <c r="G32" s="12"/>
      <c r="L32" s="12"/>
      <c r="O32" s="32"/>
    </row>
    <row r="33" ht="15.75" customHeight="1">
      <c r="B33" s="12"/>
      <c r="C33" s="12"/>
      <c r="D33" s="27"/>
      <c r="F33" s="12"/>
      <c r="G33" s="12"/>
      <c r="L33" s="12"/>
      <c r="O33" s="32"/>
    </row>
    <row r="34" ht="15.75" customHeight="1">
      <c r="B34" s="12"/>
      <c r="C34" s="12"/>
      <c r="D34" s="27"/>
      <c r="F34" s="12"/>
      <c r="G34" s="12"/>
      <c r="L34" s="12"/>
      <c r="O34" s="32"/>
    </row>
    <row r="35" ht="15.75" customHeight="1">
      <c r="B35" s="12"/>
      <c r="C35" s="12"/>
      <c r="D35" s="27"/>
      <c r="F35" s="12"/>
      <c r="G35" s="12"/>
      <c r="L35" s="12"/>
      <c r="O35" s="32"/>
    </row>
    <row r="36" ht="15.75" customHeight="1">
      <c r="B36" s="12"/>
      <c r="C36" s="12"/>
      <c r="D36" s="27"/>
      <c r="F36" s="12"/>
      <c r="G36" s="12"/>
      <c r="L36" s="12"/>
      <c r="O36" s="32"/>
    </row>
    <row r="37" ht="15.75" customHeight="1">
      <c r="B37" s="12"/>
      <c r="C37" s="12"/>
      <c r="D37" s="27"/>
      <c r="F37" s="12"/>
      <c r="G37" s="12"/>
      <c r="L37" s="12"/>
      <c r="O37" s="32"/>
    </row>
    <row r="38" ht="15.75" customHeight="1">
      <c r="B38" s="12"/>
      <c r="C38" s="12"/>
      <c r="D38" s="27"/>
      <c r="F38" s="12"/>
      <c r="G38" s="12"/>
      <c r="L38" s="12"/>
      <c r="O38" s="32"/>
    </row>
    <row r="39" ht="15.75" customHeight="1">
      <c r="B39" s="12"/>
      <c r="C39" s="12"/>
      <c r="D39" s="27"/>
      <c r="F39" s="12"/>
      <c r="G39" s="12"/>
      <c r="L39" s="12"/>
      <c r="O39" s="32"/>
    </row>
    <row r="40" ht="15.75" customHeight="1">
      <c r="B40" s="12"/>
      <c r="C40" s="12"/>
      <c r="D40" s="27"/>
      <c r="F40" s="12"/>
      <c r="G40" s="12"/>
      <c r="L40" s="12"/>
      <c r="O40" s="32"/>
    </row>
    <row r="41" ht="15.75" customHeight="1">
      <c r="B41" s="12"/>
      <c r="C41" s="12"/>
      <c r="D41" s="27"/>
      <c r="F41" s="12"/>
      <c r="G41" s="12"/>
      <c r="L41" s="12"/>
      <c r="O41" s="32"/>
    </row>
    <row r="42" ht="15.75" customHeight="1">
      <c r="B42" s="12"/>
      <c r="C42" s="12"/>
      <c r="D42" s="27"/>
      <c r="F42" s="12"/>
      <c r="G42" s="12"/>
      <c r="L42" s="12"/>
      <c r="O42" s="32"/>
    </row>
    <row r="43" ht="15.75" customHeight="1">
      <c r="B43" s="12"/>
      <c r="C43" s="12"/>
      <c r="D43" s="27"/>
      <c r="F43" s="12"/>
      <c r="G43" s="12"/>
      <c r="L43" s="12"/>
      <c r="O43" s="32"/>
    </row>
    <row r="44" ht="15.75" customHeight="1">
      <c r="B44" s="12"/>
      <c r="C44" s="12"/>
      <c r="D44" s="27"/>
      <c r="F44" s="12"/>
      <c r="G44" s="12"/>
      <c r="L44" s="12"/>
      <c r="O44" s="32"/>
    </row>
    <row r="45" ht="15.75" customHeight="1">
      <c r="B45" s="12"/>
      <c r="C45" s="12"/>
      <c r="D45" s="27"/>
      <c r="F45" s="12"/>
      <c r="G45" s="12"/>
      <c r="L45" s="12"/>
      <c r="O45" s="32"/>
    </row>
    <row r="46" ht="15.75" customHeight="1">
      <c r="B46" s="12"/>
      <c r="C46" s="12"/>
      <c r="D46" s="27"/>
      <c r="F46" s="12"/>
      <c r="G46" s="12"/>
      <c r="L46" s="12"/>
      <c r="O46" s="32"/>
    </row>
    <row r="47" ht="15.75" customHeight="1">
      <c r="B47" s="12"/>
      <c r="C47" s="12"/>
      <c r="D47" s="27"/>
      <c r="F47" s="12"/>
      <c r="G47" s="12"/>
      <c r="L47" s="12"/>
      <c r="O47" s="32"/>
    </row>
    <row r="48" ht="15.75" customHeight="1">
      <c r="B48" s="12"/>
      <c r="C48" s="12"/>
      <c r="D48" s="27"/>
      <c r="F48" s="12"/>
      <c r="G48" s="12"/>
      <c r="L48" s="12"/>
      <c r="O48" s="32"/>
    </row>
    <row r="49" ht="15.75" customHeight="1">
      <c r="B49" s="12"/>
      <c r="C49" s="12"/>
      <c r="D49" s="27"/>
      <c r="F49" s="12"/>
      <c r="G49" s="12"/>
      <c r="L49" s="12"/>
      <c r="O49" s="32"/>
    </row>
    <row r="50" ht="15.75" customHeight="1">
      <c r="B50" s="12"/>
      <c r="C50" s="12"/>
      <c r="D50" s="27"/>
      <c r="F50" s="12"/>
      <c r="G50" s="12"/>
      <c r="L50" s="12"/>
      <c r="O50" s="32"/>
    </row>
    <row r="51" ht="15.75" customHeight="1">
      <c r="B51" s="12"/>
      <c r="C51" s="12"/>
      <c r="D51" s="27"/>
      <c r="F51" s="12"/>
      <c r="G51" s="12"/>
      <c r="L51" s="12"/>
      <c r="O51" s="32"/>
    </row>
    <row r="52" ht="15.75" customHeight="1">
      <c r="B52" s="12"/>
      <c r="C52" s="12"/>
      <c r="D52" s="27"/>
      <c r="F52" s="12"/>
      <c r="G52" s="12"/>
      <c r="L52" s="12"/>
      <c r="O52" s="32"/>
    </row>
    <row r="53" ht="15.75" customHeight="1">
      <c r="B53" s="12"/>
      <c r="C53" s="12"/>
      <c r="D53" s="27"/>
      <c r="F53" s="12"/>
      <c r="G53" s="12"/>
      <c r="L53" s="12"/>
      <c r="O53" s="32"/>
    </row>
    <row r="54" ht="15.75" customHeight="1">
      <c r="B54" s="12"/>
      <c r="C54" s="12"/>
      <c r="D54" s="27"/>
      <c r="F54" s="12"/>
      <c r="G54" s="12"/>
      <c r="L54" s="12"/>
      <c r="O54" s="32"/>
    </row>
    <row r="55" ht="15.75" customHeight="1">
      <c r="B55" s="12"/>
      <c r="C55" s="12"/>
      <c r="D55" s="27"/>
      <c r="F55" s="12"/>
      <c r="G55" s="12"/>
      <c r="L55" s="12"/>
      <c r="O55" s="32"/>
    </row>
    <row r="56" ht="15.75" customHeight="1">
      <c r="B56" s="12"/>
      <c r="C56" s="12"/>
      <c r="D56" s="27"/>
      <c r="F56" s="12"/>
      <c r="G56" s="12"/>
      <c r="L56" s="12"/>
      <c r="O56" s="32"/>
    </row>
    <row r="57" ht="15.75" customHeight="1">
      <c r="B57" s="12"/>
      <c r="C57" s="12"/>
      <c r="D57" s="27"/>
      <c r="F57" s="12"/>
      <c r="G57" s="12"/>
      <c r="L57" s="12"/>
      <c r="O57" s="32"/>
    </row>
    <row r="58" ht="15.75" customHeight="1">
      <c r="B58" s="12"/>
      <c r="C58" s="12"/>
      <c r="D58" s="27"/>
      <c r="F58" s="12"/>
      <c r="G58" s="12"/>
      <c r="L58" s="12"/>
      <c r="O58" s="32"/>
    </row>
    <row r="59" ht="15.75" customHeight="1">
      <c r="B59" s="12"/>
      <c r="C59" s="12"/>
      <c r="D59" s="27"/>
      <c r="F59" s="12"/>
      <c r="G59" s="12"/>
      <c r="L59" s="12"/>
      <c r="O59" s="32"/>
    </row>
    <row r="60" ht="15.75" customHeight="1">
      <c r="B60" s="12"/>
      <c r="C60" s="12"/>
      <c r="D60" s="27"/>
      <c r="F60" s="12"/>
      <c r="G60" s="12"/>
      <c r="L60" s="12"/>
      <c r="O60" s="32"/>
    </row>
    <row r="61" ht="15.75" customHeight="1">
      <c r="B61" s="12"/>
      <c r="C61" s="12"/>
      <c r="D61" s="27"/>
      <c r="F61" s="12"/>
      <c r="G61" s="12"/>
      <c r="L61" s="12"/>
      <c r="O61" s="32"/>
    </row>
    <row r="62" ht="15.75" customHeight="1">
      <c r="B62" s="12"/>
      <c r="C62" s="12"/>
      <c r="D62" s="27"/>
      <c r="F62" s="12"/>
      <c r="G62" s="12"/>
      <c r="L62" s="12"/>
      <c r="O62" s="32"/>
    </row>
    <row r="63" ht="15.75" customHeight="1">
      <c r="B63" s="12"/>
      <c r="C63" s="12"/>
      <c r="D63" s="27"/>
      <c r="F63" s="12"/>
      <c r="G63" s="12"/>
      <c r="L63" s="12"/>
      <c r="O63" s="32"/>
    </row>
    <row r="64" ht="15.75" customHeight="1">
      <c r="B64" s="12"/>
      <c r="C64" s="12"/>
      <c r="D64" s="27"/>
      <c r="F64" s="12"/>
      <c r="G64" s="12"/>
      <c r="L64" s="12"/>
      <c r="O64" s="32"/>
    </row>
    <row r="65" ht="15.75" customHeight="1">
      <c r="B65" s="12"/>
      <c r="C65" s="12"/>
      <c r="D65" s="27"/>
      <c r="F65" s="12"/>
      <c r="G65" s="12"/>
      <c r="L65" s="12"/>
      <c r="O65" s="32"/>
    </row>
    <row r="66" ht="15.75" customHeight="1">
      <c r="B66" s="12"/>
      <c r="C66" s="12"/>
      <c r="D66" s="27"/>
      <c r="F66" s="12"/>
      <c r="G66" s="12"/>
      <c r="L66" s="12"/>
      <c r="O66" s="32"/>
    </row>
    <row r="67" ht="15.75" customHeight="1">
      <c r="B67" s="12"/>
      <c r="C67" s="12"/>
      <c r="D67" s="27"/>
      <c r="F67" s="12"/>
      <c r="G67" s="12"/>
      <c r="L67" s="12"/>
      <c r="O67" s="32"/>
    </row>
    <row r="68" ht="15.75" customHeight="1">
      <c r="B68" s="12"/>
      <c r="C68" s="12"/>
      <c r="D68" s="27"/>
      <c r="F68" s="12"/>
      <c r="G68" s="12"/>
      <c r="L68" s="12"/>
      <c r="O68" s="32"/>
    </row>
    <row r="69" ht="15.75" customHeight="1">
      <c r="B69" s="12"/>
      <c r="C69" s="12"/>
      <c r="D69" s="27"/>
      <c r="F69" s="12"/>
      <c r="G69" s="12"/>
      <c r="L69" s="12"/>
      <c r="O69" s="32"/>
    </row>
    <row r="70" ht="15.75" customHeight="1">
      <c r="B70" s="12"/>
      <c r="C70" s="12"/>
      <c r="D70" s="27"/>
      <c r="F70" s="12"/>
      <c r="G70" s="12"/>
      <c r="L70" s="12"/>
      <c r="O70" s="32"/>
    </row>
    <row r="71" ht="15.75" customHeight="1">
      <c r="B71" s="12"/>
      <c r="C71" s="12"/>
      <c r="D71" s="27"/>
      <c r="F71" s="12"/>
      <c r="G71" s="12"/>
      <c r="L71" s="12"/>
      <c r="O71" s="32"/>
    </row>
    <row r="72" ht="15.75" customHeight="1">
      <c r="B72" s="12"/>
      <c r="C72" s="12"/>
      <c r="D72" s="27"/>
      <c r="F72" s="12"/>
      <c r="G72" s="12"/>
      <c r="L72" s="12"/>
      <c r="O72" s="32"/>
    </row>
    <row r="73" ht="15.75" customHeight="1">
      <c r="B73" s="12"/>
      <c r="C73" s="12"/>
      <c r="D73" s="27"/>
      <c r="F73" s="12"/>
      <c r="G73" s="12"/>
      <c r="L73" s="12"/>
      <c r="O73" s="32"/>
    </row>
    <row r="74" ht="15.75" customHeight="1">
      <c r="B74" s="12"/>
      <c r="C74" s="12"/>
      <c r="D74" s="27"/>
      <c r="F74" s="12"/>
      <c r="G74" s="12"/>
      <c r="L74" s="12"/>
      <c r="O74" s="32"/>
    </row>
    <row r="75" ht="15.75" customHeight="1">
      <c r="B75" s="12"/>
      <c r="C75" s="12"/>
      <c r="D75" s="27"/>
      <c r="F75" s="12"/>
      <c r="G75" s="12"/>
      <c r="L75" s="12"/>
      <c r="O75" s="32"/>
    </row>
    <row r="76" ht="15.75" customHeight="1">
      <c r="B76" s="12"/>
      <c r="C76" s="12"/>
      <c r="D76" s="27"/>
      <c r="F76" s="12"/>
      <c r="G76" s="12"/>
      <c r="L76" s="12"/>
      <c r="O76" s="32"/>
    </row>
    <row r="77" ht="15.75" customHeight="1">
      <c r="B77" s="12"/>
      <c r="C77" s="12"/>
      <c r="D77" s="27"/>
      <c r="F77" s="12"/>
      <c r="G77" s="12"/>
      <c r="L77" s="12"/>
      <c r="O77" s="32"/>
    </row>
    <row r="78" ht="15.75" customHeight="1">
      <c r="B78" s="12"/>
      <c r="C78" s="12"/>
      <c r="D78" s="27"/>
      <c r="F78" s="12"/>
      <c r="G78" s="12"/>
      <c r="L78" s="12"/>
      <c r="O78" s="32"/>
    </row>
    <row r="79" ht="15.75" customHeight="1">
      <c r="B79" s="12"/>
      <c r="C79" s="12"/>
      <c r="D79" s="27"/>
      <c r="F79" s="12"/>
      <c r="G79" s="12"/>
      <c r="L79" s="12"/>
      <c r="O79" s="32"/>
    </row>
    <row r="80" ht="15.75" customHeight="1">
      <c r="B80" s="12"/>
      <c r="C80" s="12"/>
      <c r="D80" s="27"/>
      <c r="F80" s="12"/>
      <c r="G80" s="12"/>
      <c r="L80" s="12"/>
      <c r="O80" s="32"/>
    </row>
    <row r="81" ht="15.75" customHeight="1">
      <c r="B81" s="12"/>
      <c r="C81" s="12"/>
      <c r="D81" s="27"/>
      <c r="F81" s="12"/>
      <c r="G81" s="12"/>
      <c r="L81" s="12"/>
      <c r="O81" s="32"/>
    </row>
    <row r="82" ht="15.75" customHeight="1">
      <c r="B82" s="12"/>
      <c r="C82" s="12"/>
      <c r="D82" s="27"/>
      <c r="F82" s="12"/>
      <c r="G82" s="12"/>
      <c r="L82" s="12"/>
      <c r="O82" s="32"/>
    </row>
    <row r="83" ht="15.75" customHeight="1">
      <c r="B83" s="12"/>
      <c r="C83" s="12"/>
      <c r="D83" s="27"/>
      <c r="F83" s="12"/>
      <c r="G83" s="12"/>
      <c r="L83" s="12"/>
      <c r="O83" s="32"/>
    </row>
    <row r="84" ht="15.75" customHeight="1">
      <c r="B84" s="12"/>
      <c r="C84" s="12"/>
      <c r="D84" s="27"/>
      <c r="F84" s="12"/>
      <c r="G84" s="12"/>
      <c r="L84" s="12"/>
      <c r="O84" s="32"/>
    </row>
    <row r="85" ht="15.75" customHeight="1">
      <c r="B85" s="12"/>
      <c r="C85" s="12"/>
      <c r="D85" s="27"/>
      <c r="F85" s="12"/>
      <c r="G85" s="12"/>
      <c r="L85" s="12"/>
      <c r="O85" s="32"/>
    </row>
    <row r="86" ht="15.75" customHeight="1">
      <c r="B86" s="12"/>
      <c r="C86" s="12"/>
      <c r="D86" s="27"/>
      <c r="F86" s="12"/>
      <c r="G86" s="12"/>
      <c r="L86" s="12"/>
      <c r="O86" s="32"/>
    </row>
    <row r="87" ht="15.75" customHeight="1">
      <c r="B87" s="12"/>
      <c r="C87" s="12"/>
      <c r="D87" s="27"/>
      <c r="F87" s="12"/>
      <c r="G87" s="12"/>
      <c r="L87" s="12"/>
      <c r="O87" s="32"/>
    </row>
    <row r="88" ht="15.75" customHeight="1">
      <c r="B88" s="12"/>
      <c r="C88" s="12"/>
      <c r="D88" s="27"/>
      <c r="F88" s="12"/>
      <c r="G88" s="12"/>
      <c r="L88" s="12"/>
      <c r="O88" s="32"/>
    </row>
    <row r="89" ht="15.75" customHeight="1">
      <c r="B89" s="12"/>
      <c r="C89" s="12"/>
      <c r="D89" s="27"/>
      <c r="F89" s="12"/>
      <c r="G89" s="12"/>
      <c r="L89" s="12"/>
      <c r="O89" s="32"/>
    </row>
    <row r="90" ht="15.75" customHeight="1">
      <c r="B90" s="12"/>
      <c r="C90" s="12"/>
      <c r="D90" s="27"/>
      <c r="F90" s="12"/>
      <c r="G90" s="12"/>
      <c r="L90" s="12"/>
      <c r="O90" s="32"/>
    </row>
    <row r="91" ht="15.75" customHeight="1">
      <c r="B91" s="12"/>
      <c r="C91" s="12"/>
      <c r="D91" s="27"/>
      <c r="F91" s="12"/>
      <c r="G91" s="12"/>
      <c r="L91" s="12"/>
      <c r="O91" s="32"/>
    </row>
    <row r="92" ht="15.75" customHeight="1">
      <c r="B92" s="12"/>
      <c r="C92" s="12"/>
      <c r="D92" s="27"/>
      <c r="F92" s="12"/>
      <c r="G92" s="12"/>
      <c r="L92" s="12"/>
      <c r="O92" s="32"/>
    </row>
    <row r="93" ht="15.75" customHeight="1">
      <c r="B93" s="12"/>
      <c r="C93" s="12"/>
      <c r="D93" s="27"/>
      <c r="F93" s="12"/>
      <c r="G93" s="12"/>
      <c r="L93" s="12"/>
      <c r="O93" s="32"/>
    </row>
    <row r="94" ht="15.75" customHeight="1">
      <c r="B94" s="12"/>
      <c r="C94" s="12"/>
      <c r="D94" s="27"/>
      <c r="F94" s="12"/>
      <c r="G94" s="12"/>
      <c r="L94" s="12"/>
      <c r="O94" s="32"/>
    </row>
    <row r="95" ht="15.75" customHeight="1">
      <c r="B95" s="12"/>
      <c r="C95" s="12"/>
      <c r="D95" s="27"/>
      <c r="F95" s="12"/>
      <c r="G95" s="12"/>
      <c r="L95" s="12"/>
      <c r="O95" s="32"/>
    </row>
    <row r="96" ht="15.75" customHeight="1">
      <c r="B96" s="12"/>
      <c r="C96" s="12"/>
      <c r="D96" s="27"/>
      <c r="F96" s="12"/>
      <c r="G96" s="12"/>
      <c r="L96" s="12"/>
      <c r="O96" s="32"/>
    </row>
    <row r="97" ht="15.75" customHeight="1">
      <c r="B97" s="12"/>
      <c r="C97" s="12"/>
      <c r="D97" s="27"/>
      <c r="F97" s="12"/>
      <c r="G97" s="12"/>
      <c r="L97" s="12"/>
      <c r="O97" s="32"/>
    </row>
    <row r="98" ht="15.75" customHeight="1">
      <c r="B98" s="12"/>
      <c r="C98" s="12"/>
      <c r="D98" s="27"/>
      <c r="F98" s="12"/>
      <c r="G98" s="12"/>
      <c r="L98" s="12"/>
      <c r="O98" s="32"/>
    </row>
    <row r="99" ht="15.75" customHeight="1">
      <c r="B99" s="12"/>
      <c r="C99" s="12"/>
      <c r="D99" s="27"/>
      <c r="F99" s="12"/>
      <c r="G99" s="12"/>
      <c r="L99" s="12"/>
      <c r="O99" s="32"/>
    </row>
    <row r="100" ht="15.75" customHeight="1">
      <c r="B100" s="12"/>
      <c r="C100" s="12"/>
      <c r="D100" s="27"/>
      <c r="F100" s="12"/>
      <c r="G100" s="12"/>
      <c r="L100" s="12"/>
      <c r="O100" s="32"/>
    </row>
    <row r="101" ht="15.75" customHeight="1">
      <c r="B101" s="12"/>
      <c r="C101" s="12"/>
      <c r="D101" s="27"/>
      <c r="F101" s="12"/>
      <c r="G101" s="12"/>
      <c r="L101" s="12"/>
      <c r="O101" s="32"/>
    </row>
    <row r="102" ht="15.75" customHeight="1">
      <c r="B102" s="12"/>
      <c r="C102" s="12"/>
      <c r="D102" s="27"/>
      <c r="F102" s="12"/>
      <c r="G102" s="12"/>
      <c r="L102" s="12"/>
      <c r="O102" s="32"/>
    </row>
    <row r="103" ht="15.75" customHeight="1">
      <c r="B103" s="12"/>
      <c r="C103" s="12"/>
      <c r="D103" s="27"/>
      <c r="F103" s="12"/>
      <c r="G103" s="12"/>
      <c r="L103" s="12"/>
      <c r="O103" s="32"/>
    </row>
    <row r="104" ht="15.75" customHeight="1">
      <c r="B104" s="12"/>
      <c r="C104" s="12"/>
      <c r="D104" s="27"/>
      <c r="F104" s="12"/>
      <c r="G104" s="12"/>
      <c r="L104" s="12"/>
      <c r="O104" s="32"/>
    </row>
    <row r="105" ht="15.75" customHeight="1">
      <c r="B105" s="12"/>
      <c r="C105" s="12"/>
      <c r="D105" s="27"/>
      <c r="F105" s="12"/>
      <c r="G105" s="12"/>
      <c r="L105" s="12"/>
      <c r="O105" s="32"/>
    </row>
    <row r="106" ht="15.75" customHeight="1">
      <c r="B106" s="12"/>
      <c r="C106" s="12"/>
      <c r="D106" s="27"/>
      <c r="F106" s="12"/>
      <c r="G106" s="12"/>
      <c r="L106" s="12"/>
      <c r="O106" s="32"/>
    </row>
    <row r="107" ht="15.75" customHeight="1">
      <c r="B107" s="12"/>
      <c r="C107" s="12"/>
      <c r="D107" s="27"/>
      <c r="F107" s="12"/>
      <c r="G107" s="12"/>
      <c r="L107" s="12"/>
      <c r="O107" s="32"/>
    </row>
    <row r="108" ht="15.75" customHeight="1">
      <c r="B108" s="12"/>
      <c r="C108" s="12"/>
      <c r="D108" s="27"/>
      <c r="F108" s="12"/>
      <c r="G108" s="12"/>
      <c r="L108" s="12"/>
      <c r="O108" s="32"/>
    </row>
    <row r="109" ht="15.75" customHeight="1">
      <c r="B109" s="12"/>
      <c r="C109" s="12"/>
      <c r="D109" s="27"/>
      <c r="F109" s="12"/>
      <c r="G109" s="12"/>
      <c r="L109" s="12"/>
      <c r="O109" s="32"/>
    </row>
    <row r="110" ht="15.75" customHeight="1">
      <c r="B110" s="12"/>
      <c r="C110" s="12"/>
      <c r="D110" s="27"/>
      <c r="F110" s="12"/>
      <c r="G110" s="12"/>
      <c r="L110" s="12"/>
      <c r="O110" s="32"/>
    </row>
    <row r="111" ht="15.75" customHeight="1">
      <c r="B111" s="12"/>
      <c r="C111" s="12"/>
      <c r="D111" s="27"/>
      <c r="F111" s="12"/>
      <c r="G111" s="12"/>
      <c r="L111" s="12"/>
      <c r="O111" s="32"/>
    </row>
    <row r="112" ht="15.75" customHeight="1">
      <c r="B112" s="12"/>
      <c r="C112" s="12"/>
      <c r="D112" s="27"/>
      <c r="F112" s="12"/>
      <c r="G112" s="12"/>
      <c r="L112" s="12"/>
      <c r="O112" s="32"/>
    </row>
    <row r="113" ht="15.75" customHeight="1">
      <c r="B113" s="12"/>
      <c r="C113" s="12"/>
      <c r="D113" s="27"/>
      <c r="F113" s="12"/>
      <c r="G113" s="12"/>
      <c r="L113" s="12"/>
      <c r="O113" s="32"/>
    </row>
    <row r="114" ht="15.75" customHeight="1">
      <c r="B114" s="12"/>
      <c r="C114" s="12"/>
      <c r="D114" s="27"/>
      <c r="F114" s="12"/>
      <c r="G114" s="12"/>
      <c r="L114" s="12"/>
      <c r="O114" s="32"/>
    </row>
    <row r="115" ht="15.75" customHeight="1">
      <c r="B115" s="12"/>
      <c r="C115" s="12"/>
      <c r="D115" s="27"/>
      <c r="F115" s="12"/>
      <c r="G115" s="12"/>
      <c r="L115" s="12"/>
      <c r="O115" s="32"/>
    </row>
    <row r="116" ht="15.75" customHeight="1">
      <c r="B116" s="12"/>
      <c r="C116" s="12"/>
      <c r="D116" s="27"/>
      <c r="F116" s="12"/>
      <c r="G116" s="12"/>
      <c r="L116" s="12"/>
      <c r="O116" s="32"/>
    </row>
    <row r="117" ht="15.75" customHeight="1">
      <c r="B117" s="12"/>
      <c r="C117" s="12"/>
      <c r="D117" s="27"/>
      <c r="F117" s="12"/>
      <c r="G117" s="12"/>
      <c r="L117" s="12"/>
      <c r="O117" s="32"/>
    </row>
    <row r="118" ht="15.75" customHeight="1">
      <c r="B118" s="12"/>
      <c r="C118" s="12"/>
      <c r="D118" s="27"/>
      <c r="F118" s="12"/>
      <c r="G118" s="12"/>
      <c r="L118" s="12"/>
      <c r="O118" s="32"/>
    </row>
    <row r="119" ht="15.75" customHeight="1">
      <c r="B119" s="12"/>
      <c r="C119" s="12"/>
      <c r="D119" s="27"/>
      <c r="F119" s="12"/>
      <c r="G119" s="12"/>
      <c r="L119" s="12"/>
      <c r="O119" s="32"/>
    </row>
    <row r="120" ht="15.75" customHeight="1">
      <c r="B120" s="12"/>
      <c r="C120" s="12"/>
      <c r="D120" s="27"/>
      <c r="F120" s="12"/>
      <c r="G120" s="12"/>
      <c r="L120" s="12"/>
      <c r="O120" s="32"/>
    </row>
    <row r="121" ht="15.75" customHeight="1">
      <c r="B121" s="12"/>
      <c r="C121" s="12"/>
      <c r="D121" s="27"/>
      <c r="F121" s="12"/>
      <c r="G121" s="12"/>
      <c r="L121" s="12"/>
      <c r="O121" s="32"/>
    </row>
    <row r="122" ht="15.75" customHeight="1">
      <c r="B122" s="12"/>
      <c r="C122" s="12"/>
      <c r="D122" s="27"/>
      <c r="F122" s="12"/>
      <c r="G122" s="12"/>
      <c r="L122" s="12"/>
      <c r="O122" s="32"/>
    </row>
    <row r="123" ht="15.75" customHeight="1">
      <c r="B123" s="12"/>
      <c r="C123" s="12"/>
      <c r="D123" s="27"/>
      <c r="F123" s="12"/>
      <c r="G123" s="12"/>
      <c r="L123" s="12"/>
      <c r="O123" s="32"/>
    </row>
    <row r="124" ht="15.75" customHeight="1">
      <c r="B124" s="12"/>
      <c r="C124" s="12"/>
      <c r="D124" s="27"/>
      <c r="F124" s="12"/>
      <c r="G124" s="12"/>
      <c r="L124" s="12"/>
      <c r="O124" s="32"/>
    </row>
    <row r="125" ht="15.75" customHeight="1">
      <c r="B125" s="12"/>
      <c r="C125" s="12"/>
      <c r="D125" s="27"/>
      <c r="F125" s="12"/>
      <c r="G125" s="12"/>
      <c r="L125" s="12"/>
      <c r="O125" s="32"/>
    </row>
    <row r="126" ht="15.75" customHeight="1">
      <c r="B126" s="12"/>
      <c r="C126" s="12"/>
      <c r="D126" s="27"/>
      <c r="F126" s="12"/>
      <c r="G126" s="12"/>
      <c r="L126" s="12"/>
      <c r="O126" s="32"/>
    </row>
    <row r="127" ht="15.75" customHeight="1">
      <c r="B127" s="12"/>
      <c r="C127" s="12"/>
      <c r="D127" s="27"/>
      <c r="F127" s="12"/>
      <c r="G127" s="12"/>
      <c r="L127" s="12"/>
      <c r="O127" s="32"/>
    </row>
    <row r="128" ht="15.75" customHeight="1">
      <c r="B128" s="12"/>
      <c r="C128" s="12"/>
      <c r="D128" s="27"/>
      <c r="F128" s="12"/>
      <c r="G128" s="12"/>
      <c r="L128" s="12"/>
      <c r="O128" s="32"/>
    </row>
    <row r="129" ht="15.75" customHeight="1">
      <c r="B129" s="12"/>
      <c r="C129" s="12"/>
      <c r="D129" s="27"/>
      <c r="F129" s="12"/>
      <c r="G129" s="12"/>
      <c r="L129" s="12"/>
      <c r="O129" s="32"/>
    </row>
    <row r="130" ht="15.75" customHeight="1">
      <c r="B130" s="12"/>
      <c r="C130" s="12"/>
      <c r="D130" s="27"/>
      <c r="F130" s="12"/>
      <c r="G130" s="12"/>
      <c r="L130" s="12"/>
      <c r="O130" s="32"/>
    </row>
    <row r="131" ht="15.75" customHeight="1">
      <c r="B131" s="12"/>
      <c r="C131" s="12"/>
      <c r="D131" s="27"/>
      <c r="F131" s="12"/>
      <c r="G131" s="12"/>
      <c r="L131" s="12"/>
      <c r="O131" s="32"/>
    </row>
    <row r="132" ht="15.75" customHeight="1">
      <c r="B132" s="12"/>
      <c r="C132" s="12"/>
      <c r="D132" s="27"/>
      <c r="F132" s="12"/>
      <c r="G132" s="12"/>
      <c r="L132" s="12"/>
      <c r="O132" s="32"/>
    </row>
    <row r="133" ht="15.75" customHeight="1">
      <c r="B133" s="12"/>
      <c r="C133" s="12"/>
      <c r="D133" s="27"/>
      <c r="F133" s="12"/>
      <c r="G133" s="12"/>
      <c r="L133" s="12"/>
      <c r="O133" s="32"/>
    </row>
    <row r="134" ht="15.75" customHeight="1">
      <c r="B134" s="12"/>
      <c r="C134" s="12"/>
      <c r="D134" s="27"/>
      <c r="F134" s="12"/>
      <c r="G134" s="12"/>
      <c r="L134" s="12"/>
      <c r="O134" s="32"/>
    </row>
    <row r="135" ht="15.75" customHeight="1">
      <c r="B135" s="12"/>
      <c r="C135" s="12"/>
      <c r="D135" s="27"/>
      <c r="F135" s="12"/>
      <c r="G135" s="12"/>
      <c r="L135" s="12"/>
      <c r="O135" s="32"/>
    </row>
    <row r="136" ht="15.75" customHeight="1">
      <c r="B136" s="12"/>
      <c r="C136" s="12"/>
      <c r="D136" s="27"/>
      <c r="F136" s="12"/>
      <c r="G136" s="12"/>
      <c r="L136" s="12"/>
      <c r="O136" s="32"/>
    </row>
    <row r="137" ht="15.75" customHeight="1">
      <c r="B137" s="12"/>
      <c r="C137" s="12"/>
      <c r="D137" s="27"/>
      <c r="F137" s="12"/>
      <c r="G137" s="12"/>
      <c r="L137" s="12"/>
      <c r="O137" s="32"/>
    </row>
    <row r="138" ht="15.75" customHeight="1">
      <c r="B138" s="12"/>
      <c r="C138" s="12"/>
      <c r="D138" s="27"/>
      <c r="F138" s="12"/>
      <c r="G138" s="12"/>
      <c r="L138" s="12"/>
      <c r="O138" s="32"/>
    </row>
    <row r="139" ht="15.75" customHeight="1">
      <c r="B139" s="12"/>
      <c r="C139" s="12"/>
      <c r="D139" s="27"/>
      <c r="F139" s="12"/>
      <c r="G139" s="12"/>
      <c r="L139" s="12"/>
      <c r="O139" s="32"/>
    </row>
    <row r="140" ht="15.75" customHeight="1">
      <c r="B140" s="12"/>
      <c r="C140" s="12"/>
      <c r="D140" s="27"/>
      <c r="F140" s="12"/>
      <c r="G140" s="12"/>
      <c r="L140" s="12"/>
      <c r="O140" s="32"/>
    </row>
    <row r="141" ht="15.75" customHeight="1">
      <c r="B141" s="12"/>
      <c r="C141" s="12"/>
      <c r="D141" s="27"/>
      <c r="F141" s="12"/>
      <c r="G141" s="12"/>
      <c r="L141" s="12"/>
      <c r="O141" s="32"/>
    </row>
    <row r="142" ht="15.75" customHeight="1">
      <c r="B142" s="12"/>
      <c r="C142" s="12"/>
      <c r="D142" s="27"/>
      <c r="F142" s="12"/>
      <c r="G142" s="12"/>
      <c r="L142" s="12"/>
      <c r="O142" s="32"/>
    </row>
    <row r="143" ht="15.75" customHeight="1">
      <c r="B143" s="12"/>
      <c r="C143" s="12"/>
      <c r="D143" s="27"/>
      <c r="F143" s="12"/>
      <c r="G143" s="12"/>
      <c r="L143" s="12"/>
      <c r="O143" s="32"/>
    </row>
    <row r="144" ht="15.75" customHeight="1">
      <c r="B144" s="12"/>
      <c r="C144" s="12"/>
      <c r="D144" s="27"/>
      <c r="F144" s="12"/>
      <c r="G144" s="12"/>
      <c r="L144" s="12"/>
      <c r="O144" s="32"/>
    </row>
    <row r="145" ht="15.75" customHeight="1">
      <c r="B145" s="12"/>
      <c r="C145" s="12"/>
      <c r="D145" s="27"/>
      <c r="F145" s="12"/>
      <c r="G145" s="12"/>
      <c r="L145" s="12"/>
      <c r="O145" s="32"/>
    </row>
    <row r="146" ht="15.75" customHeight="1">
      <c r="B146" s="12"/>
      <c r="C146" s="12"/>
      <c r="D146" s="27"/>
      <c r="F146" s="12"/>
      <c r="G146" s="12"/>
      <c r="L146" s="12"/>
      <c r="O146" s="32"/>
    </row>
    <row r="147" ht="15.75" customHeight="1">
      <c r="B147" s="12"/>
      <c r="C147" s="12"/>
      <c r="D147" s="27"/>
      <c r="F147" s="12"/>
      <c r="G147" s="12"/>
      <c r="L147" s="12"/>
      <c r="O147" s="32"/>
    </row>
    <row r="148" ht="15.75" customHeight="1">
      <c r="B148" s="12"/>
      <c r="C148" s="12"/>
      <c r="D148" s="27"/>
      <c r="F148" s="12"/>
      <c r="G148" s="12"/>
      <c r="L148" s="12"/>
      <c r="O148" s="32"/>
    </row>
    <row r="149" ht="15.75" customHeight="1">
      <c r="B149" s="12"/>
      <c r="C149" s="12"/>
      <c r="D149" s="27"/>
      <c r="F149" s="12"/>
      <c r="G149" s="12"/>
      <c r="L149" s="12"/>
      <c r="O149" s="32"/>
    </row>
    <row r="150" ht="15.75" customHeight="1">
      <c r="B150" s="12"/>
      <c r="C150" s="12"/>
      <c r="D150" s="27"/>
      <c r="F150" s="12"/>
      <c r="G150" s="12"/>
      <c r="L150" s="12"/>
      <c r="O150" s="32"/>
    </row>
    <row r="151" ht="15.75" customHeight="1">
      <c r="B151" s="12"/>
      <c r="C151" s="12"/>
      <c r="D151" s="27"/>
      <c r="F151" s="12"/>
      <c r="G151" s="12"/>
      <c r="L151" s="12"/>
      <c r="O151" s="32"/>
    </row>
    <row r="152" ht="15.75" customHeight="1">
      <c r="B152" s="12"/>
      <c r="C152" s="12"/>
      <c r="D152" s="27"/>
      <c r="F152" s="12"/>
      <c r="G152" s="12"/>
      <c r="L152" s="12"/>
      <c r="O152" s="32"/>
    </row>
    <row r="153" ht="15.75" customHeight="1">
      <c r="B153" s="12"/>
      <c r="C153" s="12"/>
      <c r="D153" s="27"/>
      <c r="F153" s="12"/>
      <c r="G153" s="12"/>
      <c r="L153" s="12"/>
      <c r="O153" s="32"/>
    </row>
    <row r="154" ht="15.75" customHeight="1">
      <c r="B154" s="12"/>
      <c r="C154" s="12"/>
      <c r="D154" s="27"/>
      <c r="F154" s="12"/>
      <c r="G154" s="12"/>
      <c r="L154" s="12"/>
      <c r="O154" s="32"/>
    </row>
    <row r="155" ht="15.75" customHeight="1">
      <c r="B155" s="12"/>
      <c r="C155" s="12"/>
      <c r="D155" s="27"/>
      <c r="F155" s="12"/>
      <c r="G155" s="12"/>
      <c r="L155" s="12"/>
      <c r="O155" s="32"/>
    </row>
    <row r="156" ht="15.75" customHeight="1">
      <c r="B156" s="12"/>
      <c r="C156" s="12"/>
      <c r="D156" s="27"/>
      <c r="F156" s="12"/>
      <c r="G156" s="12"/>
      <c r="L156" s="12"/>
      <c r="O156" s="32"/>
    </row>
    <row r="157" ht="15.75" customHeight="1">
      <c r="B157" s="12"/>
      <c r="C157" s="12"/>
      <c r="D157" s="27"/>
      <c r="F157" s="12"/>
      <c r="G157" s="12"/>
      <c r="L157" s="12"/>
      <c r="O157" s="32"/>
    </row>
    <row r="158" ht="15.75" customHeight="1">
      <c r="B158" s="12"/>
      <c r="C158" s="12"/>
      <c r="D158" s="27"/>
      <c r="F158" s="12"/>
      <c r="G158" s="12"/>
      <c r="L158" s="12"/>
      <c r="O158" s="32"/>
    </row>
    <row r="159" ht="15.75" customHeight="1">
      <c r="B159" s="12"/>
      <c r="C159" s="12"/>
      <c r="D159" s="27"/>
      <c r="F159" s="12"/>
      <c r="G159" s="12"/>
      <c r="L159" s="12"/>
      <c r="O159" s="32"/>
    </row>
    <row r="160" ht="15.75" customHeight="1">
      <c r="B160" s="12"/>
      <c r="C160" s="12"/>
      <c r="D160" s="27"/>
      <c r="F160" s="12"/>
      <c r="G160" s="12"/>
      <c r="L160" s="12"/>
      <c r="O160" s="32"/>
    </row>
    <row r="161" ht="15.75" customHeight="1">
      <c r="B161" s="12"/>
      <c r="C161" s="12"/>
      <c r="D161" s="27"/>
      <c r="F161" s="12"/>
      <c r="G161" s="12"/>
      <c r="L161" s="12"/>
      <c r="O161" s="32"/>
    </row>
    <row r="162" ht="15.75" customHeight="1">
      <c r="B162" s="12"/>
      <c r="C162" s="12"/>
      <c r="D162" s="27"/>
      <c r="F162" s="12"/>
      <c r="G162" s="12"/>
      <c r="L162" s="12"/>
      <c r="O162" s="32"/>
    </row>
    <row r="163" ht="15.75" customHeight="1">
      <c r="B163" s="12"/>
      <c r="C163" s="12"/>
      <c r="D163" s="27"/>
      <c r="F163" s="12"/>
      <c r="G163" s="12"/>
      <c r="L163" s="12"/>
      <c r="O163" s="32"/>
    </row>
    <row r="164" ht="15.75" customHeight="1">
      <c r="B164" s="12"/>
      <c r="C164" s="12"/>
      <c r="D164" s="27"/>
      <c r="F164" s="12"/>
      <c r="G164" s="12"/>
      <c r="L164" s="12"/>
      <c r="O164" s="32"/>
    </row>
    <row r="165" ht="15.75" customHeight="1">
      <c r="B165" s="12"/>
      <c r="C165" s="12"/>
      <c r="D165" s="27"/>
      <c r="F165" s="12"/>
      <c r="G165" s="12"/>
      <c r="L165" s="12"/>
      <c r="O165" s="32"/>
    </row>
    <row r="166" ht="15.75" customHeight="1">
      <c r="B166" s="12"/>
      <c r="C166" s="12"/>
      <c r="D166" s="27"/>
      <c r="F166" s="12"/>
      <c r="G166" s="12"/>
      <c r="L166" s="12"/>
      <c r="O166" s="32"/>
    </row>
    <row r="167" ht="15.75" customHeight="1">
      <c r="B167" s="12"/>
      <c r="C167" s="12"/>
      <c r="D167" s="27"/>
      <c r="F167" s="12"/>
      <c r="G167" s="12"/>
      <c r="L167" s="12"/>
      <c r="O167" s="32"/>
    </row>
    <row r="168" ht="15.75" customHeight="1">
      <c r="B168" s="12"/>
      <c r="C168" s="12"/>
      <c r="D168" s="27"/>
      <c r="F168" s="12"/>
      <c r="G168" s="12"/>
      <c r="L168" s="12"/>
      <c r="O168" s="32"/>
    </row>
    <row r="169" ht="15.75" customHeight="1">
      <c r="B169" s="12"/>
      <c r="C169" s="12"/>
      <c r="D169" s="27"/>
      <c r="F169" s="12"/>
      <c r="G169" s="12"/>
      <c r="L169" s="12"/>
      <c r="O169" s="32"/>
    </row>
    <row r="170" ht="15.75" customHeight="1">
      <c r="B170" s="12"/>
      <c r="C170" s="12"/>
      <c r="D170" s="27"/>
      <c r="F170" s="12"/>
      <c r="G170" s="12"/>
      <c r="L170" s="12"/>
      <c r="O170" s="32"/>
    </row>
    <row r="171" ht="15.75" customHeight="1">
      <c r="B171" s="12"/>
      <c r="C171" s="12"/>
      <c r="D171" s="27"/>
      <c r="F171" s="12"/>
      <c r="G171" s="12"/>
      <c r="L171" s="12"/>
      <c r="O171" s="32"/>
    </row>
    <row r="172" ht="15.75" customHeight="1">
      <c r="B172" s="12"/>
      <c r="C172" s="12"/>
      <c r="D172" s="27"/>
      <c r="F172" s="12"/>
      <c r="G172" s="12"/>
      <c r="L172" s="12"/>
      <c r="O172" s="32"/>
    </row>
    <row r="173" ht="15.75" customHeight="1">
      <c r="B173" s="12"/>
      <c r="C173" s="12"/>
      <c r="D173" s="27"/>
      <c r="F173" s="12"/>
      <c r="G173" s="12"/>
      <c r="L173" s="12"/>
      <c r="O173" s="32"/>
    </row>
    <row r="174" ht="15.75" customHeight="1">
      <c r="B174" s="12"/>
      <c r="C174" s="12"/>
      <c r="D174" s="27"/>
      <c r="F174" s="12"/>
      <c r="G174" s="12"/>
      <c r="L174" s="12"/>
      <c r="O174" s="32"/>
    </row>
    <row r="175" ht="15.75" customHeight="1">
      <c r="B175" s="12"/>
      <c r="C175" s="12"/>
      <c r="D175" s="27"/>
      <c r="F175" s="12"/>
      <c r="G175" s="12"/>
      <c r="L175" s="12"/>
      <c r="O175" s="32"/>
    </row>
    <row r="176" ht="15.75" customHeight="1">
      <c r="B176" s="12"/>
      <c r="C176" s="12"/>
      <c r="D176" s="27"/>
      <c r="F176" s="12"/>
      <c r="G176" s="12"/>
      <c r="L176" s="12"/>
      <c r="O176" s="32"/>
    </row>
    <row r="177" ht="15.75" customHeight="1">
      <c r="B177" s="12"/>
      <c r="C177" s="12"/>
      <c r="D177" s="27"/>
      <c r="F177" s="12"/>
      <c r="G177" s="12"/>
      <c r="L177" s="12"/>
      <c r="O177" s="32"/>
    </row>
    <row r="178" ht="15.75" customHeight="1">
      <c r="B178" s="12"/>
      <c r="C178" s="12"/>
      <c r="D178" s="27"/>
      <c r="F178" s="12"/>
      <c r="G178" s="12"/>
      <c r="L178" s="12"/>
      <c r="O178" s="32"/>
    </row>
    <row r="179" ht="15.75" customHeight="1">
      <c r="B179" s="12"/>
      <c r="C179" s="12"/>
      <c r="D179" s="27"/>
      <c r="F179" s="12"/>
      <c r="G179" s="12"/>
      <c r="L179" s="12"/>
      <c r="O179" s="32"/>
    </row>
    <row r="180" ht="15.75" customHeight="1">
      <c r="B180" s="12"/>
      <c r="C180" s="12"/>
      <c r="D180" s="27"/>
      <c r="F180" s="12"/>
      <c r="G180" s="12"/>
      <c r="L180" s="12"/>
      <c r="O180" s="32"/>
    </row>
    <row r="181" ht="15.75" customHeight="1">
      <c r="B181" s="12"/>
      <c r="C181" s="12"/>
      <c r="D181" s="27"/>
      <c r="F181" s="12"/>
      <c r="G181" s="12"/>
      <c r="L181" s="12"/>
      <c r="O181" s="32"/>
    </row>
    <row r="182" ht="15.75" customHeight="1">
      <c r="B182" s="12"/>
      <c r="C182" s="12"/>
      <c r="D182" s="27"/>
      <c r="F182" s="12"/>
      <c r="G182" s="12"/>
      <c r="L182" s="12"/>
      <c r="O182" s="32"/>
    </row>
    <row r="183" ht="15.75" customHeight="1">
      <c r="B183" s="12"/>
      <c r="C183" s="12"/>
      <c r="D183" s="27"/>
      <c r="F183" s="12"/>
      <c r="G183" s="12"/>
      <c r="L183" s="12"/>
      <c r="O183" s="32"/>
    </row>
    <row r="184" ht="15.75" customHeight="1">
      <c r="B184" s="12"/>
      <c r="C184" s="12"/>
      <c r="D184" s="27"/>
      <c r="F184" s="12"/>
      <c r="G184" s="12"/>
      <c r="L184" s="12"/>
      <c r="O184" s="32"/>
    </row>
    <row r="185" ht="15.75" customHeight="1">
      <c r="B185" s="12"/>
      <c r="C185" s="12"/>
      <c r="D185" s="27"/>
      <c r="F185" s="12"/>
      <c r="G185" s="12"/>
      <c r="L185" s="12"/>
      <c r="O185" s="32"/>
    </row>
    <row r="186" ht="15.75" customHeight="1">
      <c r="B186" s="12"/>
      <c r="C186" s="12"/>
      <c r="D186" s="27"/>
      <c r="F186" s="12"/>
      <c r="G186" s="12"/>
      <c r="L186" s="12"/>
      <c r="O186" s="32"/>
    </row>
    <row r="187" ht="15.75" customHeight="1">
      <c r="B187" s="12"/>
      <c r="C187" s="12"/>
      <c r="D187" s="27"/>
      <c r="F187" s="12"/>
      <c r="G187" s="12"/>
      <c r="L187" s="12"/>
      <c r="O187" s="32"/>
    </row>
    <row r="188" ht="15.75" customHeight="1">
      <c r="B188" s="12"/>
      <c r="C188" s="12"/>
      <c r="D188" s="27"/>
      <c r="F188" s="12"/>
      <c r="G188" s="12"/>
      <c r="L188" s="12"/>
      <c r="O188" s="32"/>
    </row>
    <row r="189" ht="15.75" customHeight="1">
      <c r="B189" s="12"/>
      <c r="C189" s="12"/>
      <c r="D189" s="27"/>
      <c r="F189" s="12"/>
      <c r="G189" s="12"/>
      <c r="L189" s="12"/>
      <c r="O189" s="32"/>
    </row>
    <row r="190" ht="15.75" customHeight="1">
      <c r="B190" s="12"/>
      <c r="C190" s="12"/>
      <c r="D190" s="27"/>
      <c r="F190" s="12"/>
      <c r="G190" s="12"/>
      <c r="L190" s="12"/>
      <c r="O190" s="32"/>
    </row>
    <row r="191" ht="15.75" customHeight="1">
      <c r="B191" s="12"/>
      <c r="C191" s="12"/>
      <c r="D191" s="27"/>
      <c r="F191" s="12"/>
      <c r="G191" s="12"/>
      <c r="L191" s="12"/>
      <c r="O191" s="32"/>
    </row>
    <row r="192" ht="15.75" customHeight="1">
      <c r="B192" s="12"/>
      <c r="C192" s="12"/>
      <c r="D192" s="27"/>
      <c r="F192" s="12"/>
      <c r="G192" s="12"/>
      <c r="L192" s="12"/>
      <c r="O192" s="32"/>
    </row>
    <row r="193" ht="15.75" customHeight="1">
      <c r="B193" s="12"/>
      <c r="C193" s="12"/>
      <c r="D193" s="27"/>
      <c r="F193" s="12"/>
      <c r="G193" s="12"/>
      <c r="L193" s="12"/>
      <c r="O193" s="32"/>
    </row>
    <row r="194" ht="15.75" customHeight="1">
      <c r="B194" s="12"/>
      <c r="C194" s="12"/>
      <c r="D194" s="27"/>
      <c r="F194" s="12"/>
      <c r="G194" s="12"/>
      <c r="L194" s="12"/>
      <c r="O194" s="32"/>
    </row>
    <row r="195" ht="15.75" customHeight="1">
      <c r="B195" s="12"/>
      <c r="C195" s="12"/>
      <c r="D195" s="27"/>
      <c r="F195" s="12"/>
      <c r="G195" s="12"/>
      <c r="L195" s="12"/>
      <c r="O195" s="32"/>
    </row>
    <row r="196" ht="15.75" customHeight="1">
      <c r="B196" s="12"/>
      <c r="C196" s="12"/>
      <c r="D196" s="27"/>
      <c r="F196" s="12"/>
      <c r="G196" s="12"/>
      <c r="L196" s="12"/>
      <c r="O196" s="32"/>
    </row>
    <row r="197" ht="15.75" customHeight="1">
      <c r="B197" s="12"/>
      <c r="C197" s="12"/>
      <c r="D197" s="27"/>
      <c r="F197" s="12"/>
      <c r="G197" s="12"/>
      <c r="L197" s="12"/>
      <c r="O197" s="32"/>
    </row>
    <row r="198" ht="15.75" customHeight="1">
      <c r="B198" s="12"/>
      <c r="C198" s="12"/>
      <c r="D198" s="27"/>
      <c r="F198" s="12"/>
      <c r="G198" s="12"/>
      <c r="L198" s="12"/>
      <c r="O198" s="32"/>
    </row>
    <row r="199" ht="15.75" customHeight="1">
      <c r="B199" s="12"/>
      <c r="C199" s="12"/>
      <c r="D199" s="27"/>
      <c r="F199" s="12"/>
      <c r="G199" s="12"/>
      <c r="L199" s="12"/>
      <c r="O199" s="32"/>
    </row>
    <row r="200" ht="15.75" customHeight="1">
      <c r="B200" s="12"/>
      <c r="C200" s="12"/>
      <c r="D200" s="27"/>
      <c r="F200" s="12"/>
      <c r="G200" s="12"/>
      <c r="L200" s="12"/>
      <c r="O200" s="32"/>
    </row>
    <row r="201" ht="15.75" customHeight="1">
      <c r="B201" s="12"/>
      <c r="C201" s="12"/>
      <c r="D201" s="27"/>
      <c r="F201" s="12"/>
      <c r="G201" s="12"/>
      <c r="L201" s="12"/>
      <c r="O201" s="32"/>
    </row>
    <row r="202" ht="15.75" customHeight="1">
      <c r="B202" s="12"/>
      <c r="C202" s="12"/>
      <c r="D202" s="27"/>
      <c r="F202" s="12"/>
      <c r="G202" s="12"/>
      <c r="L202" s="12"/>
      <c r="O202" s="32"/>
    </row>
    <row r="203" ht="15.75" customHeight="1">
      <c r="B203" s="12"/>
      <c r="C203" s="12"/>
      <c r="D203" s="27"/>
      <c r="F203" s="12"/>
      <c r="G203" s="12"/>
      <c r="L203" s="12"/>
      <c r="O203" s="32"/>
    </row>
    <row r="204" ht="15.75" customHeight="1">
      <c r="B204" s="12"/>
      <c r="C204" s="12"/>
      <c r="D204" s="27"/>
      <c r="F204" s="12"/>
      <c r="G204" s="12"/>
      <c r="L204" s="12"/>
      <c r="O204" s="32"/>
    </row>
    <row r="205" ht="15.75" customHeight="1">
      <c r="B205" s="12"/>
      <c r="C205" s="12"/>
      <c r="D205" s="27"/>
      <c r="F205" s="12"/>
      <c r="G205" s="12"/>
      <c r="L205" s="12"/>
      <c r="O205" s="32"/>
    </row>
    <row r="206" ht="15.75" customHeight="1">
      <c r="B206" s="12"/>
      <c r="C206" s="12"/>
      <c r="D206" s="27"/>
      <c r="F206" s="12"/>
      <c r="G206" s="12"/>
      <c r="L206" s="12"/>
      <c r="O206" s="32"/>
    </row>
    <row r="207" ht="15.75" customHeight="1">
      <c r="B207" s="12"/>
      <c r="C207" s="12"/>
      <c r="D207" s="27"/>
      <c r="F207" s="12"/>
      <c r="G207" s="12"/>
      <c r="L207" s="12"/>
      <c r="O207" s="32"/>
    </row>
    <row r="208" ht="15.75" customHeight="1">
      <c r="B208" s="12"/>
      <c r="C208" s="12"/>
      <c r="D208" s="27"/>
      <c r="F208" s="12"/>
      <c r="G208" s="12"/>
      <c r="L208" s="12"/>
      <c r="O208" s="32"/>
    </row>
    <row r="209" ht="15.75" customHeight="1">
      <c r="B209" s="12"/>
      <c r="C209" s="12"/>
      <c r="D209" s="27"/>
      <c r="F209" s="12"/>
      <c r="G209" s="12"/>
      <c r="L209" s="12"/>
      <c r="O209" s="32"/>
    </row>
    <row r="210" ht="15.75" customHeight="1">
      <c r="B210" s="12"/>
      <c r="C210" s="12"/>
      <c r="D210" s="27"/>
      <c r="F210" s="12"/>
      <c r="G210" s="12"/>
      <c r="L210" s="12"/>
      <c r="O210" s="32"/>
    </row>
    <row r="211" ht="15.75" customHeight="1">
      <c r="B211" s="12"/>
      <c r="C211" s="12"/>
      <c r="D211" s="27"/>
      <c r="F211" s="12"/>
      <c r="G211" s="12"/>
      <c r="L211" s="12"/>
      <c r="O211" s="32"/>
    </row>
    <row r="212" ht="15.75" customHeight="1">
      <c r="B212" s="12"/>
      <c r="C212" s="12"/>
      <c r="D212" s="27"/>
      <c r="F212" s="12"/>
      <c r="G212" s="12"/>
      <c r="L212" s="12"/>
      <c r="O212" s="32"/>
    </row>
    <row r="213" ht="15.75" customHeight="1">
      <c r="B213" s="12"/>
      <c r="C213" s="12"/>
      <c r="D213" s="27"/>
      <c r="F213" s="12"/>
      <c r="G213" s="12"/>
      <c r="L213" s="12"/>
      <c r="O213" s="32"/>
    </row>
    <row r="214" ht="15.75" customHeight="1">
      <c r="B214" s="12"/>
      <c r="C214" s="12"/>
      <c r="D214" s="27"/>
      <c r="F214" s="12"/>
      <c r="G214" s="12"/>
      <c r="L214" s="12"/>
      <c r="O214" s="32"/>
    </row>
    <row r="215" ht="15.75" customHeight="1">
      <c r="B215" s="12"/>
      <c r="C215" s="12"/>
      <c r="D215" s="27"/>
      <c r="F215" s="12"/>
      <c r="G215" s="12"/>
      <c r="L215" s="12"/>
      <c r="O215" s="32"/>
    </row>
    <row r="216" ht="15.75" customHeight="1">
      <c r="B216" s="12"/>
      <c r="C216" s="12"/>
      <c r="D216" s="27"/>
      <c r="F216" s="12"/>
      <c r="G216" s="12"/>
      <c r="L216" s="12"/>
      <c r="O216" s="32"/>
    </row>
    <row r="217" ht="15.75" customHeight="1">
      <c r="B217" s="12"/>
      <c r="C217" s="12"/>
      <c r="D217" s="27"/>
      <c r="F217" s="12"/>
      <c r="G217" s="12"/>
      <c r="L217" s="12"/>
      <c r="O217" s="32"/>
    </row>
    <row r="218" ht="15.75" customHeight="1">
      <c r="B218" s="12"/>
      <c r="C218" s="12"/>
      <c r="D218" s="27"/>
      <c r="F218" s="12"/>
      <c r="G218" s="12"/>
      <c r="L218" s="12"/>
      <c r="O218" s="32"/>
    </row>
    <row r="219" ht="15.75" customHeight="1">
      <c r="B219" s="12"/>
      <c r="C219" s="12"/>
      <c r="D219" s="27"/>
      <c r="F219" s="12"/>
      <c r="G219" s="12"/>
      <c r="L219" s="12"/>
      <c r="O219" s="32"/>
    </row>
    <row r="220" ht="15.75" customHeight="1">
      <c r="B220" s="12"/>
      <c r="C220" s="12"/>
      <c r="D220" s="27"/>
      <c r="F220" s="12"/>
      <c r="G220" s="12"/>
      <c r="L220" s="12"/>
      <c r="O220" s="32"/>
    </row>
    <row r="221" ht="15.75" customHeight="1">
      <c r="D221" s="27"/>
      <c r="G221" s="12"/>
    </row>
    <row r="222" ht="15.75" customHeight="1">
      <c r="D222" s="27"/>
      <c r="G222" s="12"/>
    </row>
    <row r="223" ht="15.75" customHeight="1">
      <c r="D223" s="27"/>
      <c r="G223" s="12"/>
    </row>
    <row r="224" ht="15.75" customHeight="1">
      <c r="D224" s="27"/>
      <c r="G224" s="12"/>
    </row>
    <row r="225" ht="15.75" customHeight="1">
      <c r="D225" s="27"/>
      <c r="G225" s="12"/>
    </row>
    <row r="226" ht="15.75" customHeight="1">
      <c r="D226" s="27"/>
      <c r="G226" s="12"/>
    </row>
    <row r="227" ht="15.75" customHeight="1">
      <c r="D227" s="27"/>
      <c r="G227" s="12"/>
    </row>
    <row r="228" ht="15.75" customHeight="1">
      <c r="D228" s="27"/>
      <c r="G228" s="12"/>
    </row>
    <row r="229" ht="15.75" customHeight="1">
      <c r="D229" s="27"/>
      <c r="G229" s="12"/>
    </row>
    <row r="230" ht="15.75" customHeight="1">
      <c r="D230" s="27"/>
      <c r="G230" s="12"/>
    </row>
    <row r="231" ht="15.75" customHeight="1">
      <c r="D231" s="27"/>
      <c r="G231" s="12"/>
    </row>
    <row r="232" ht="15.75" customHeight="1">
      <c r="D232" s="27"/>
      <c r="G232" s="12"/>
    </row>
    <row r="233" ht="15.75" customHeight="1">
      <c r="D233" s="27"/>
      <c r="G233" s="12"/>
    </row>
    <row r="234" ht="15.75" customHeight="1">
      <c r="D234" s="27"/>
      <c r="G234" s="12"/>
    </row>
    <row r="235" ht="15.75" customHeight="1">
      <c r="D235" s="27"/>
      <c r="G235" s="12"/>
    </row>
    <row r="236" ht="15.75" customHeight="1">
      <c r="D236" s="27"/>
      <c r="G236" s="12"/>
    </row>
    <row r="237" ht="15.75" customHeight="1">
      <c r="D237" s="27"/>
      <c r="G237" s="12"/>
    </row>
    <row r="238" ht="15.75" customHeight="1">
      <c r="D238" s="27"/>
      <c r="G238" s="12"/>
    </row>
    <row r="239" ht="15.75" customHeight="1">
      <c r="D239" s="27"/>
      <c r="G239" s="12"/>
    </row>
    <row r="240" ht="15.75" customHeight="1">
      <c r="D240" s="27"/>
      <c r="G240" s="12"/>
    </row>
    <row r="241" ht="15.75" customHeight="1">
      <c r="D241" s="27"/>
      <c r="G241" s="12"/>
    </row>
    <row r="242" ht="15.75" customHeight="1">
      <c r="D242" s="27"/>
      <c r="G242" s="12"/>
    </row>
    <row r="243" ht="15.75" customHeight="1">
      <c r="D243" s="27"/>
      <c r="G243" s="12"/>
    </row>
    <row r="244" ht="15.75" customHeight="1">
      <c r="D244" s="27"/>
      <c r="G244" s="12"/>
    </row>
    <row r="245" ht="15.75" customHeight="1">
      <c r="D245" s="27"/>
      <c r="G245" s="12"/>
    </row>
    <row r="246" ht="15.75" customHeight="1">
      <c r="D246" s="27"/>
      <c r="G246" s="12"/>
    </row>
    <row r="247" ht="15.75" customHeight="1">
      <c r="D247" s="27"/>
      <c r="G247" s="12"/>
    </row>
    <row r="248" ht="15.75" customHeight="1">
      <c r="D248" s="27"/>
      <c r="G248" s="12"/>
    </row>
    <row r="249" ht="15.75" customHeight="1">
      <c r="D249" s="27"/>
      <c r="G249" s="12"/>
    </row>
    <row r="250" ht="15.75" customHeight="1">
      <c r="D250" s="27"/>
      <c r="G250" s="12"/>
    </row>
    <row r="251" ht="15.75" customHeight="1">
      <c r="D251" s="27"/>
      <c r="G251" s="12"/>
    </row>
    <row r="252" ht="15.75" customHeight="1">
      <c r="D252" s="27"/>
      <c r="G252" s="12"/>
    </row>
    <row r="253" ht="15.75" customHeight="1">
      <c r="D253" s="27"/>
      <c r="G253" s="12"/>
    </row>
    <row r="254" ht="15.75" customHeight="1">
      <c r="D254" s="27"/>
      <c r="G254" s="12"/>
    </row>
    <row r="255" ht="15.75" customHeight="1">
      <c r="D255" s="27"/>
      <c r="G255" s="12"/>
    </row>
    <row r="256" ht="15.75" customHeight="1">
      <c r="D256" s="27"/>
      <c r="G256" s="12"/>
    </row>
    <row r="257" ht="15.75" customHeight="1">
      <c r="D257" s="27"/>
      <c r="G257" s="12"/>
    </row>
    <row r="258" ht="15.75" customHeight="1">
      <c r="D258" s="27"/>
      <c r="G258" s="12"/>
    </row>
    <row r="259" ht="15.75" customHeight="1">
      <c r="D259" s="27"/>
      <c r="G259" s="12"/>
    </row>
    <row r="260" ht="15.75" customHeight="1">
      <c r="D260" s="27"/>
      <c r="G260" s="12"/>
    </row>
    <row r="261" ht="15.75" customHeight="1">
      <c r="D261" s="27"/>
      <c r="G261" s="12"/>
    </row>
    <row r="262" ht="15.75" customHeight="1">
      <c r="D262" s="27"/>
      <c r="G262" s="12"/>
    </row>
    <row r="263" ht="15.75" customHeight="1">
      <c r="D263" s="27"/>
      <c r="G263" s="12"/>
    </row>
    <row r="264" ht="15.75" customHeight="1">
      <c r="D264" s="27"/>
      <c r="G264" s="12"/>
    </row>
    <row r="265" ht="15.75" customHeight="1">
      <c r="D265" s="27"/>
      <c r="G265" s="12"/>
    </row>
    <row r="266" ht="15.75" customHeight="1">
      <c r="D266" s="27"/>
      <c r="G266" s="12"/>
    </row>
    <row r="267" ht="15.75" customHeight="1">
      <c r="D267" s="27"/>
      <c r="G267" s="12"/>
    </row>
    <row r="268" ht="15.75" customHeight="1">
      <c r="D268" s="27"/>
      <c r="G268" s="12"/>
    </row>
    <row r="269" ht="15.75" customHeight="1">
      <c r="D269" s="27"/>
      <c r="G269" s="12"/>
    </row>
    <row r="270" ht="15.75" customHeight="1">
      <c r="D270" s="27"/>
      <c r="G270" s="12"/>
    </row>
    <row r="271" ht="15.75" customHeight="1">
      <c r="D271" s="27"/>
      <c r="G271" s="12"/>
    </row>
    <row r="272" ht="15.75" customHeight="1">
      <c r="D272" s="27"/>
      <c r="G272" s="12"/>
    </row>
    <row r="273" ht="15.75" customHeight="1">
      <c r="D273" s="27"/>
      <c r="G273" s="12"/>
    </row>
    <row r="274" ht="15.75" customHeight="1">
      <c r="D274" s="27"/>
      <c r="G274" s="12"/>
    </row>
    <row r="275" ht="15.75" customHeight="1">
      <c r="D275" s="27"/>
      <c r="G275" s="12"/>
    </row>
    <row r="276" ht="15.75" customHeight="1">
      <c r="D276" s="27"/>
      <c r="G276" s="12"/>
    </row>
    <row r="277" ht="15.75" customHeight="1">
      <c r="D277" s="27"/>
      <c r="G277" s="12"/>
    </row>
    <row r="278" ht="15.75" customHeight="1">
      <c r="D278" s="27"/>
      <c r="G278" s="12"/>
    </row>
    <row r="279" ht="15.75" customHeight="1">
      <c r="D279" s="27"/>
      <c r="G279" s="12"/>
    </row>
    <row r="280" ht="15.75" customHeight="1">
      <c r="D280" s="27"/>
      <c r="G280" s="12"/>
    </row>
    <row r="281" ht="15.75" customHeight="1">
      <c r="D281" s="27"/>
      <c r="G281" s="12"/>
    </row>
    <row r="282" ht="15.75" customHeight="1">
      <c r="D282" s="27"/>
      <c r="G282" s="12"/>
    </row>
    <row r="283" ht="15.75" customHeight="1">
      <c r="D283" s="27"/>
      <c r="G283" s="12"/>
    </row>
    <row r="284" ht="15.75" customHeight="1">
      <c r="D284" s="27"/>
      <c r="G284" s="12"/>
    </row>
    <row r="285" ht="15.75" customHeight="1">
      <c r="D285" s="27"/>
      <c r="G285" s="12"/>
    </row>
    <row r="286" ht="15.75" customHeight="1">
      <c r="D286" s="27"/>
      <c r="G286" s="12"/>
    </row>
    <row r="287" ht="15.75" customHeight="1">
      <c r="D287" s="27"/>
      <c r="G287" s="12"/>
    </row>
    <row r="288" ht="15.75" customHeight="1">
      <c r="D288" s="27"/>
      <c r="G288" s="12"/>
    </row>
    <row r="289" ht="15.75" customHeight="1">
      <c r="D289" s="27"/>
      <c r="G289" s="12"/>
    </row>
    <row r="290" ht="15.75" customHeight="1">
      <c r="D290" s="27"/>
      <c r="G290" s="12"/>
    </row>
    <row r="291" ht="15.75" customHeight="1">
      <c r="D291" s="27"/>
      <c r="G291" s="12"/>
    </row>
    <row r="292" ht="15.75" customHeight="1">
      <c r="D292" s="27"/>
      <c r="G292" s="12"/>
    </row>
    <row r="293" ht="15.75" customHeight="1">
      <c r="D293" s="27"/>
      <c r="G293" s="12"/>
    </row>
    <row r="294" ht="15.75" customHeight="1">
      <c r="D294" s="27"/>
      <c r="G294" s="12"/>
    </row>
    <row r="295" ht="15.75" customHeight="1">
      <c r="D295" s="27"/>
      <c r="G295" s="12"/>
    </row>
    <row r="296" ht="15.75" customHeight="1">
      <c r="D296" s="27"/>
      <c r="G296" s="12"/>
    </row>
    <row r="297" ht="15.75" customHeight="1">
      <c r="D297" s="27"/>
      <c r="G297" s="12"/>
    </row>
    <row r="298" ht="15.75" customHeight="1">
      <c r="D298" s="27"/>
      <c r="G298" s="12"/>
    </row>
    <row r="299" ht="15.75" customHeight="1">
      <c r="D299" s="27"/>
      <c r="G299" s="12"/>
    </row>
    <row r="300" ht="15.75" customHeight="1">
      <c r="D300" s="27"/>
      <c r="G300" s="12"/>
    </row>
    <row r="301" ht="15.75" customHeight="1">
      <c r="D301" s="27"/>
      <c r="G301" s="12"/>
    </row>
    <row r="302" ht="15.75" customHeight="1">
      <c r="D302" s="27"/>
      <c r="G302" s="12"/>
    </row>
    <row r="303" ht="15.75" customHeight="1">
      <c r="D303" s="27"/>
      <c r="G303" s="12"/>
    </row>
    <row r="304" ht="15.75" customHeight="1">
      <c r="D304" s="27"/>
      <c r="G304" s="12"/>
    </row>
    <row r="305" ht="15.75" customHeight="1">
      <c r="D305" s="27"/>
      <c r="G305" s="12"/>
    </row>
    <row r="306" ht="15.75" customHeight="1">
      <c r="D306" s="27"/>
      <c r="G306" s="12"/>
    </row>
    <row r="307" ht="15.75" customHeight="1">
      <c r="D307" s="27"/>
      <c r="G307" s="12"/>
    </row>
    <row r="308" ht="15.75" customHeight="1">
      <c r="D308" s="27"/>
      <c r="G308" s="12"/>
    </row>
    <row r="309" ht="15.75" customHeight="1">
      <c r="D309" s="27"/>
      <c r="G309" s="12"/>
    </row>
    <row r="310" ht="15.75" customHeight="1">
      <c r="D310" s="27"/>
      <c r="G310" s="12"/>
    </row>
    <row r="311" ht="15.75" customHeight="1">
      <c r="D311" s="27"/>
      <c r="G311" s="12"/>
    </row>
    <row r="312" ht="15.75" customHeight="1">
      <c r="D312" s="27"/>
      <c r="G312" s="12"/>
    </row>
    <row r="313" ht="15.75" customHeight="1">
      <c r="D313" s="27"/>
      <c r="G313" s="12"/>
    </row>
    <row r="314" ht="15.75" customHeight="1">
      <c r="D314" s="27"/>
      <c r="G314" s="12"/>
    </row>
    <row r="315" ht="15.75" customHeight="1">
      <c r="D315" s="27"/>
      <c r="G315" s="12"/>
    </row>
    <row r="316" ht="15.75" customHeight="1">
      <c r="D316" s="27"/>
      <c r="G316" s="12"/>
    </row>
    <row r="317" ht="15.75" customHeight="1">
      <c r="D317" s="27"/>
      <c r="G317" s="12"/>
    </row>
    <row r="318" ht="15.75" customHeight="1">
      <c r="D318" s="27"/>
      <c r="G318" s="12"/>
    </row>
    <row r="319" ht="15.75" customHeight="1">
      <c r="D319" s="27"/>
      <c r="G319" s="12"/>
    </row>
    <row r="320" ht="15.75" customHeight="1">
      <c r="D320" s="27"/>
      <c r="G320" s="12"/>
    </row>
    <row r="321" ht="15.75" customHeight="1">
      <c r="D321" s="27"/>
      <c r="G321" s="12"/>
    </row>
    <row r="322" ht="15.75" customHeight="1">
      <c r="D322" s="27"/>
      <c r="G322" s="12"/>
    </row>
    <row r="323" ht="15.75" customHeight="1">
      <c r="D323" s="27"/>
      <c r="G323" s="12"/>
    </row>
    <row r="324" ht="15.75" customHeight="1">
      <c r="D324" s="27"/>
      <c r="G324" s="12"/>
    </row>
    <row r="325" ht="15.75" customHeight="1">
      <c r="D325" s="27"/>
      <c r="G325" s="12"/>
    </row>
    <row r="326" ht="15.75" customHeight="1">
      <c r="D326" s="27"/>
      <c r="G326" s="12"/>
    </row>
    <row r="327" ht="15.75" customHeight="1">
      <c r="D327" s="27"/>
      <c r="G327" s="12"/>
    </row>
    <row r="328" ht="15.75" customHeight="1">
      <c r="D328" s="27"/>
      <c r="G328" s="12"/>
    </row>
    <row r="329" ht="15.75" customHeight="1">
      <c r="D329" s="27"/>
      <c r="G329" s="12"/>
    </row>
    <row r="330" ht="15.75" customHeight="1">
      <c r="D330" s="27"/>
      <c r="G330" s="12"/>
    </row>
    <row r="331" ht="15.75" customHeight="1">
      <c r="D331" s="27"/>
      <c r="G331" s="12"/>
    </row>
    <row r="332" ht="15.75" customHeight="1">
      <c r="D332" s="27"/>
      <c r="G332" s="12"/>
    </row>
    <row r="333" ht="15.75" customHeight="1">
      <c r="D333" s="27"/>
      <c r="G333" s="12"/>
    </row>
    <row r="334" ht="15.75" customHeight="1">
      <c r="D334" s="27"/>
      <c r="G334" s="12"/>
    </row>
    <row r="335" ht="15.75" customHeight="1">
      <c r="D335" s="27"/>
      <c r="G335" s="12"/>
    </row>
    <row r="336" ht="15.75" customHeight="1">
      <c r="D336" s="27"/>
      <c r="G336" s="12"/>
    </row>
    <row r="337" ht="15.75" customHeight="1">
      <c r="D337" s="27"/>
      <c r="G337" s="12"/>
    </row>
    <row r="338" ht="15.75" customHeight="1">
      <c r="D338" s="27"/>
      <c r="G338" s="12"/>
    </row>
    <row r="339" ht="15.75" customHeight="1">
      <c r="D339" s="27"/>
      <c r="G339" s="12"/>
    </row>
    <row r="340" ht="15.75" customHeight="1">
      <c r="D340" s="27"/>
      <c r="G340" s="12"/>
    </row>
    <row r="341" ht="15.75" customHeight="1">
      <c r="D341" s="27"/>
      <c r="G341" s="12"/>
    </row>
    <row r="342" ht="15.75" customHeight="1">
      <c r="D342" s="27"/>
      <c r="G342" s="12"/>
    </row>
    <row r="343" ht="15.75" customHeight="1">
      <c r="D343" s="27"/>
      <c r="G343" s="12"/>
    </row>
    <row r="344" ht="15.75" customHeight="1">
      <c r="D344" s="27"/>
      <c r="G344" s="12"/>
    </row>
    <row r="345" ht="15.75" customHeight="1">
      <c r="D345" s="27"/>
      <c r="G345" s="12"/>
    </row>
    <row r="346" ht="15.75" customHeight="1">
      <c r="D346" s="27"/>
      <c r="G346" s="12"/>
    </row>
    <row r="347" ht="15.75" customHeight="1">
      <c r="D347" s="27"/>
      <c r="G347" s="12"/>
    </row>
    <row r="348" ht="15.75" customHeight="1">
      <c r="D348" s="27"/>
      <c r="G348" s="12"/>
    </row>
    <row r="349" ht="15.75" customHeight="1">
      <c r="D349" s="27"/>
      <c r="G349" s="12"/>
    </row>
    <row r="350" ht="15.75" customHeight="1">
      <c r="D350" s="27"/>
      <c r="G350" s="12"/>
    </row>
    <row r="351" ht="15.75" customHeight="1">
      <c r="D351" s="27"/>
      <c r="G351" s="12"/>
    </row>
    <row r="352" ht="15.75" customHeight="1">
      <c r="D352" s="27"/>
      <c r="G352" s="12"/>
    </row>
    <row r="353" ht="15.75" customHeight="1">
      <c r="D353" s="27"/>
      <c r="G353" s="12"/>
    </row>
    <row r="354" ht="15.75" customHeight="1">
      <c r="D354" s="27"/>
      <c r="G354" s="12"/>
    </row>
    <row r="355" ht="15.75" customHeight="1">
      <c r="D355" s="27"/>
      <c r="G355" s="12"/>
    </row>
    <row r="356" ht="15.75" customHeight="1">
      <c r="D356" s="27"/>
      <c r="G356" s="12"/>
    </row>
    <row r="357" ht="15.75" customHeight="1">
      <c r="D357" s="27"/>
      <c r="G357" s="12"/>
    </row>
    <row r="358" ht="15.75" customHeight="1">
      <c r="D358" s="27"/>
      <c r="G358" s="12"/>
    </row>
    <row r="359" ht="15.75" customHeight="1">
      <c r="D359" s="27"/>
      <c r="G359" s="12"/>
    </row>
    <row r="360" ht="15.75" customHeight="1">
      <c r="D360" s="27"/>
      <c r="G360" s="12"/>
    </row>
    <row r="361" ht="15.75" customHeight="1">
      <c r="D361" s="27"/>
      <c r="G361" s="12"/>
    </row>
    <row r="362" ht="15.75" customHeight="1">
      <c r="D362" s="27"/>
      <c r="G362" s="12"/>
    </row>
    <row r="363" ht="15.75" customHeight="1">
      <c r="D363" s="27"/>
      <c r="G363" s="12"/>
    </row>
    <row r="364" ht="15.75" customHeight="1">
      <c r="D364" s="27"/>
      <c r="G364" s="12"/>
    </row>
    <row r="365" ht="15.75" customHeight="1">
      <c r="D365" s="27"/>
      <c r="G365" s="12"/>
    </row>
    <row r="366" ht="15.75" customHeight="1">
      <c r="D366" s="27"/>
      <c r="G366" s="12"/>
    </row>
    <row r="367" ht="15.75" customHeight="1">
      <c r="D367" s="27"/>
      <c r="G367" s="12"/>
    </row>
    <row r="368" ht="15.75" customHeight="1">
      <c r="D368" s="27"/>
      <c r="G368" s="12"/>
    </row>
    <row r="369" ht="15.75" customHeight="1">
      <c r="D369" s="27"/>
      <c r="G369" s="12"/>
    </row>
    <row r="370" ht="15.75" customHeight="1">
      <c r="D370" s="27"/>
      <c r="G370" s="12"/>
    </row>
    <row r="371" ht="15.75" customHeight="1">
      <c r="D371" s="27"/>
      <c r="G371" s="12"/>
    </row>
    <row r="372" ht="15.75" customHeight="1">
      <c r="D372" s="27"/>
      <c r="G372" s="12"/>
    </row>
    <row r="373" ht="15.75" customHeight="1">
      <c r="D373" s="27"/>
      <c r="G373" s="12"/>
    </row>
    <row r="374" ht="15.75" customHeight="1">
      <c r="D374" s="27"/>
      <c r="G374" s="12"/>
    </row>
    <row r="375" ht="15.75" customHeight="1">
      <c r="D375" s="27"/>
      <c r="G375" s="12"/>
    </row>
    <row r="376" ht="15.75" customHeight="1">
      <c r="D376" s="27"/>
      <c r="G376" s="12"/>
    </row>
    <row r="377" ht="15.75" customHeight="1">
      <c r="D377" s="27"/>
      <c r="G377" s="12"/>
    </row>
    <row r="378" ht="15.75" customHeight="1">
      <c r="D378" s="27"/>
      <c r="G378" s="12"/>
    </row>
    <row r="379" ht="15.75" customHeight="1">
      <c r="D379" s="27"/>
      <c r="G379" s="12"/>
    </row>
    <row r="380" ht="15.75" customHeight="1">
      <c r="D380" s="27"/>
      <c r="G380" s="12"/>
    </row>
    <row r="381" ht="15.75" customHeight="1">
      <c r="D381" s="27"/>
      <c r="G381" s="12"/>
    </row>
    <row r="382" ht="15.75" customHeight="1">
      <c r="D382" s="27"/>
      <c r="G382" s="12"/>
    </row>
    <row r="383" ht="15.75" customHeight="1">
      <c r="D383" s="27"/>
      <c r="G383" s="12"/>
    </row>
    <row r="384" ht="15.75" customHeight="1">
      <c r="D384" s="27"/>
      <c r="G384" s="12"/>
    </row>
    <row r="385" ht="15.75" customHeight="1">
      <c r="D385" s="27"/>
      <c r="G385" s="12"/>
    </row>
    <row r="386" ht="15.75" customHeight="1">
      <c r="D386" s="27"/>
      <c r="G386" s="12"/>
    </row>
    <row r="387" ht="15.75" customHeight="1">
      <c r="D387" s="27"/>
      <c r="G387" s="12"/>
    </row>
    <row r="388" ht="15.75" customHeight="1">
      <c r="D388" s="27"/>
      <c r="G388" s="12"/>
    </row>
    <row r="389" ht="15.75" customHeight="1">
      <c r="D389" s="27"/>
      <c r="G389" s="12"/>
    </row>
    <row r="390" ht="15.75" customHeight="1">
      <c r="D390" s="27"/>
      <c r="G390" s="12"/>
    </row>
    <row r="391" ht="15.75" customHeight="1">
      <c r="D391" s="27"/>
      <c r="G391" s="12"/>
    </row>
    <row r="392" ht="15.75" customHeight="1">
      <c r="D392" s="27"/>
      <c r="G392" s="12"/>
    </row>
    <row r="393" ht="15.75" customHeight="1">
      <c r="D393" s="27"/>
      <c r="G393" s="12"/>
    </row>
    <row r="394" ht="15.75" customHeight="1">
      <c r="D394" s="27"/>
      <c r="G394" s="12"/>
    </row>
    <row r="395" ht="15.75" customHeight="1">
      <c r="D395" s="27"/>
      <c r="G395" s="12"/>
    </row>
    <row r="396" ht="15.75" customHeight="1">
      <c r="D396" s="27"/>
      <c r="G396" s="12"/>
    </row>
    <row r="397" ht="15.75" customHeight="1">
      <c r="D397" s="27"/>
      <c r="G397" s="12"/>
    </row>
    <row r="398" ht="15.75" customHeight="1">
      <c r="D398" s="27"/>
      <c r="G398" s="12"/>
    </row>
    <row r="399" ht="15.75" customHeight="1">
      <c r="D399" s="27"/>
      <c r="G399" s="12"/>
    </row>
    <row r="400" ht="15.75" customHeight="1">
      <c r="D400" s="27"/>
      <c r="G400" s="12"/>
    </row>
    <row r="401" ht="15.75" customHeight="1">
      <c r="D401" s="27"/>
      <c r="G401" s="12"/>
    </row>
    <row r="402" ht="15.75" customHeight="1">
      <c r="D402" s="27"/>
      <c r="G402" s="12"/>
    </row>
    <row r="403" ht="15.75" customHeight="1">
      <c r="D403" s="27"/>
      <c r="G403" s="12"/>
    </row>
    <row r="404" ht="15.75" customHeight="1">
      <c r="D404" s="27"/>
      <c r="G404" s="12"/>
    </row>
    <row r="405" ht="15.75" customHeight="1">
      <c r="D405" s="27"/>
      <c r="G405" s="12"/>
    </row>
    <row r="406" ht="15.75" customHeight="1">
      <c r="D406" s="27"/>
      <c r="G406" s="12"/>
    </row>
    <row r="407" ht="15.75" customHeight="1">
      <c r="D407" s="27"/>
      <c r="G407" s="12"/>
    </row>
    <row r="408" ht="15.75" customHeight="1">
      <c r="D408" s="27"/>
      <c r="G408" s="12"/>
    </row>
    <row r="409" ht="15.75" customHeight="1">
      <c r="D409" s="27"/>
      <c r="G409" s="12"/>
    </row>
    <row r="410" ht="15.75" customHeight="1">
      <c r="D410" s="27"/>
      <c r="G410" s="12"/>
    </row>
    <row r="411" ht="15.75" customHeight="1">
      <c r="D411" s="27"/>
      <c r="G411" s="12"/>
    </row>
    <row r="412" ht="15.75" customHeight="1">
      <c r="D412" s="27"/>
      <c r="G412" s="12"/>
    </row>
    <row r="413" ht="15.75" customHeight="1">
      <c r="D413" s="27"/>
      <c r="G413" s="12"/>
    </row>
    <row r="414" ht="15.75" customHeight="1">
      <c r="D414" s="27"/>
      <c r="G414" s="12"/>
    </row>
    <row r="415" ht="15.75" customHeight="1">
      <c r="D415" s="27"/>
      <c r="G415" s="12"/>
    </row>
    <row r="416" ht="15.75" customHeight="1">
      <c r="D416" s="27"/>
      <c r="G416" s="12"/>
    </row>
    <row r="417" ht="15.75" customHeight="1">
      <c r="D417" s="27"/>
      <c r="G417" s="12"/>
    </row>
    <row r="418" ht="15.75" customHeight="1">
      <c r="D418" s="27"/>
      <c r="G418" s="12"/>
    </row>
    <row r="419" ht="15.75" customHeight="1">
      <c r="D419" s="27"/>
      <c r="G419" s="12"/>
    </row>
    <row r="420" ht="15.75" customHeight="1">
      <c r="D420" s="27"/>
      <c r="G420" s="12"/>
    </row>
    <row r="421" ht="15.75" customHeight="1">
      <c r="D421" s="27"/>
      <c r="G421" s="12"/>
    </row>
    <row r="422" ht="15.75" customHeight="1">
      <c r="D422" s="27"/>
      <c r="G422" s="12"/>
    </row>
    <row r="423" ht="15.75" customHeight="1">
      <c r="D423" s="27"/>
      <c r="G423" s="12"/>
    </row>
    <row r="424" ht="15.75" customHeight="1">
      <c r="D424" s="27"/>
      <c r="G424" s="12"/>
    </row>
    <row r="425" ht="15.75" customHeight="1">
      <c r="D425" s="27"/>
      <c r="G425" s="12"/>
    </row>
    <row r="426" ht="15.75" customHeight="1">
      <c r="D426" s="27"/>
      <c r="G426" s="12"/>
    </row>
    <row r="427" ht="15.75" customHeight="1">
      <c r="D427" s="27"/>
      <c r="G427" s="12"/>
    </row>
    <row r="428" ht="15.75" customHeight="1">
      <c r="D428" s="27"/>
      <c r="G428" s="12"/>
    </row>
    <row r="429" ht="15.75" customHeight="1">
      <c r="D429" s="27"/>
      <c r="G429" s="12"/>
    </row>
    <row r="430" ht="15.75" customHeight="1">
      <c r="D430" s="27"/>
      <c r="G430" s="12"/>
    </row>
    <row r="431" ht="15.75" customHeight="1">
      <c r="D431" s="27"/>
      <c r="G431" s="12"/>
    </row>
    <row r="432" ht="15.75" customHeight="1">
      <c r="D432" s="27"/>
      <c r="G432" s="12"/>
    </row>
    <row r="433" ht="15.75" customHeight="1">
      <c r="D433" s="27"/>
      <c r="G433" s="12"/>
    </row>
    <row r="434" ht="15.75" customHeight="1">
      <c r="D434" s="27"/>
      <c r="G434" s="12"/>
    </row>
    <row r="435" ht="15.75" customHeight="1">
      <c r="D435" s="27"/>
      <c r="G435" s="12"/>
    </row>
    <row r="436" ht="15.75" customHeight="1">
      <c r="D436" s="27"/>
      <c r="G436" s="12"/>
    </row>
    <row r="437" ht="15.75" customHeight="1">
      <c r="D437" s="27"/>
      <c r="G437" s="12"/>
    </row>
    <row r="438" ht="15.75" customHeight="1">
      <c r="D438" s="27"/>
      <c r="G438" s="12"/>
    </row>
    <row r="439" ht="15.75" customHeight="1">
      <c r="D439" s="27"/>
      <c r="G439" s="12"/>
    </row>
    <row r="440" ht="15.75" customHeight="1">
      <c r="D440" s="27"/>
      <c r="G440" s="12"/>
    </row>
    <row r="441" ht="15.75" customHeight="1">
      <c r="D441" s="27"/>
      <c r="G441" s="12"/>
    </row>
    <row r="442" ht="15.75" customHeight="1">
      <c r="D442" s="27"/>
      <c r="G442" s="12"/>
    </row>
    <row r="443" ht="15.75" customHeight="1">
      <c r="D443" s="27"/>
      <c r="G443" s="12"/>
    </row>
    <row r="444" ht="15.75" customHeight="1">
      <c r="D444" s="27"/>
      <c r="G444" s="12"/>
    </row>
    <row r="445" ht="15.75" customHeight="1">
      <c r="D445" s="27"/>
      <c r="G445" s="12"/>
    </row>
    <row r="446" ht="15.75" customHeight="1">
      <c r="D446" s="27"/>
      <c r="G446" s="12"/>
    </row>
    <row r="447" ht="15.75" customHeight="1">
      <c r="D447" s="27"/>
      <c r="G447" s="12"/>
    </row>
    <row r="448" ht="15.75" customHeight="1">
      <c r="D448" s="27"/>
      <c r="G448" s="12"/>
    </row>
    <row r="449" ht="15.75" customHeight="1">
      <c r="D449" s="27"/>
      <c r="G449" s="12"/>
    </row>
    <row r="450" ht="15.75" customHeight="1">
      <c r="D450" s="27"/>
      <c r="G450" s="12"/>
    </row>
    <row r="451" ht="15.75" customHeight="1">
      <c r="D451" s="27"/>
      <c r="G451" s="12"/>
    </row>
    <row r="452" ht="15.75" customHeight="1">
      <c r="D452" s="27"/>
      <c r="G452" s="12"/>
    </row>
    <row r="453" ht="15.75" customHeight="1">
      <c r="D453" s="27"/>
      <c r="G453" s="12"/>
    </row>
    <row r="454" ht="15.75" customHeight="1">
      <c r="D454" s="27"/>
      <c r="G454" s="12"/>
    </row>
    <row r="455" ht="15.75" customHeight="1">
      <c r="D455" s="27"/>
      <c r="G455" s="12"/>
    </row>
    <row r="456" ht="15.75" customHeight="1">
      <c r="D456" s="27"/>
      <c r="G456" s="12"/>
    </row>
    <row r="457" ht="15.75" customHeight="1">
      <c r="D457" s="27"/>
      <c r="G457" s="12"/>
    </row>
    <row r="458" ht="15.75" customHeight="1">
      <c r="D458" s="27"/>
      <c r="G458" s="12"/>
    </row>
    <row r="459" ht="15.75" customHeight="1">
      <c r="D459" s="27"/>
      <c r="G459" s="12"/>
    </row>
    <row r="460" ht="15.75" customHeight="1">
      <c r="D460" s="27"/>
      <c r="G460" s="12"/>
    </row>
    <row r="461" ht="15.75" customHeight="1">
      <c r="D461" s="27"/>
      <c r="G461" s="12"/>
    </row>
    <row r="462" ht="15.75" customHeight="1">
      <c r="D462" s="27"/>
      <c r="G462" s="12"/>
    </row>
    <row r="463" ht="15.75" customHeight="1">
      <c r="D463" s="27"/>
      <c r="G463" s="12"/>
    </row>
    <row r="464" ht="15.75" customHeight="1">
      <c r="D464" s="27"/>
      <c r="G464" s="12"/>
    </row>
    <row r="465" ht="15.75" customHeight="1">
      <c r="D465" s="27"/>
      <c r="G465" s="12"/>
    </row>
    <row r="466" ht="15.75" customHeight="1">
      <c r="D466" s="27"/>
      <c r="G466" s="12"/>
    </row>
    <row r="467" ht="15.75" customHeight="1">
      <c r="D467" s="27"/>
      <c r="G467" s="12"/>
    </row>
    <row r="468" ht="15.75" customHeight="1">
      <c r="D468" s="27"/>
      <c r="G468" s="12"/>
    </row>
    <row r="469" ht="15.75" customHeight="1">
      <c r="D469" s="27"/>
      <c r="G469" s="12"/>
    </row>
    <row r="470" ht="15.75" customHeight="1">
      <c r="D470" s="27"/>
      <c r="G470" s="12"/>
    </row>
    <row r="471" ht="15.75" customHeight="1">
      <c r="D471" s="27"/>
      <c r="G471" s="12"/>
    </row>
    <row r="472" ht="15.75" customHeight="1">
      <c r="D472" s="27"/>
      <c r="G472" s="12"/>
    </row>
    <row r="473" ht="15.75" customHeight="1">
      <c r="D473" s="27"/>
      <c r="G473" s="12"/>
    </row>
    <row r="474" ht="15.75" customHeight="1">
      <c r="D474" s="27"/>
      <c r="G474" s="12"/>
    </row>
    <row r="475" ht="15.75" customHeight="1">
      <c r="D475" s="27"/>
      <c r="G475" s="12"/>
    </row>
    <row r="476" ht="15.75" customHeight="1">
      <c r="D476" s="27"/>
      <c r="G476" s="12"/>
    </row>
    <row r="477" ht="15.75" customHeight="1">
      <c r="D477" s="27"/>
      <c r="G477" s="12"/>
    </row>
    <row r="478" ht="15.75" customHeight="1">
      <c r="D478" s="27"/>
      <c r="G478" s="12"/>
    </row>
    <row r="479" ht="15.75" customHeight="1">
      <c r="D479" s="27"/>
      <c r="G479" s="12"/>
    </row>
    <row r="480" ht="15.75" customHeight="1">
      <c r="D480" s="27"/>
      <c r="G480" s="12"/>
    </row>
    <row r="481" ht="15.75" customHeight="1">
      <c r="D481" s="27"/>
      <c r="G481" s="12"/>
    </row>
    <row r="482" ht="15.75" customHeight="1">
      <c r="D482" s="27"/>
      <c r="G482" s="12"/>
    </row>
    <row r="483" ht="15.75" customHeight="1">
      <c r="D483" s="27"/>
      <c r="G483" s="12"/>
    </row>
    <row r="484" ht="15.75" customHeight="1">
      <c r="D484" s="27"/>
      <c r="G484" s="12"/>
    </row>
    <row r="485" ht="15.75" customHeight="1">
      <c r="D485" s="27"/>
      <c r="G485" s="12"/>
    </row>
    <row r="486" ht="15.75" customHeight="1">
      <c r="D486" s="27"/>
      <c r="G486" s="12"/>
    </row>
    <row r="487" ht="15.75" customHeight="1">
      <c r="D487" s="27"/>
      <c r="G487" s="12"/>
    </row>
    <row r="488" ht="15.75" customHeight="1">
      <c r="D488" s="27"/>
      <c r="G488" s="12"/>
    </row>
    <row r="489" ht="15.75" customHeight="1">
      <c r="D489" s="27"/>
      <c r="G489" s="12"/>
    </row>
    <row r="490" ht="15.75" customHeight="1">
      <c r="D490" s="27"/>
      <c r="G490" s="12"/>
    </row>
    <row r="491" ht="15.75" customHeight="1">
      <c r="D491" s="27"/>
      <c r="G491" s="12"/>
    </row>
    <row r="492" ht="15.75" customHeight="1">
      <c r="D492" s="27"/>
      <c r="G492" s="12"/>
    </row>
    <row r="493" ht="15.75" customHeight="1">
      <c r="D493" s="27"/>
      <c r="G493" s="12"/>
    </row>
    <row r="494" ht="15.75" customHeight="1">
      <c r="D494" s="27"/>
      <c r="G494" s="12"/>
    </row>
    <row r="495" ht="15.75" customHeight="1">
      <c r="D495" s="27"/>
      <c r="G495" s="12"/>
    </row>
    <row r="496" ht="15.75" customHeight="1">
      <c r="D496" s="27"/>
      <c r="G496" s="12"/>
    </row>
    <row r="497" ht="15.75" customHeight="1">
      <c r="D497" s="27"/>
      <c r="G497" s="12"/>
    </row>
    <row r="498" ht="15.75" customHeight="1">
      <c r="D498" s="27"/>
      <c r="G498" s="12"/>
    </row>
    <row r="499" ht="15.75" customHeight="1">
      <c r="D499" s="27"/>
      <c r="G499" s="12"/>
    </row>
    <row r="500" ht="15.75" customHeight="1">
      <c r="D500" s="27"/>
      <c r="G500" s="12"/>
    </row>
    <row r="501" ht="15.75" customHeight="1">
      <c r="D501" s="27"/>
      <c r="G501" s="12"/>
    </row>
    <row r="502" ht="15.75" customHeight="1">
      <c r="D502" s="27"/>
      <c r="G502" s="12"/>
    </row>
    <row r="503" ht="15.75" customHeight="1">
      <c r="D503" s="27"/>
      <c r="G503" s="12"/>
    </row>
    <row r="504" ht="15.75" customHeight="1">
      <c r="D504" s="27"/>
      <c r="G504" s="12"/>
    </row>
    <row r="505" ht="15.75" customHeight="1">
      <c r="D505" s="27"/>
      <c r="G505" s="12"/>
    </row>
    <row r="506" ht="15.75" customHeight="1">
      <c r="D506" s="27"/>
      <c r="G506" s="12"/>
    </row>
    <row r="507" ht="15.75" customHeight="1">
      <c r="D507" s="27"/>
      <c r="G507" s="12"/>
    </row>
    <row r="508" ht="15.75" customHeight="1">
      <c r="D508" s="27"/>
      <c r="G508" s="12"/>
    </row>
    <row r="509" ht="15.75" customHeight="1">
      <c r="D509" s="27"/>
      <c r="G509" s="12"/>
    </row>
    <row r="510" ht="15.75" customHeight="1">
      <c r="D510" s="27"/>
      <c r="G510" s="12"/>
    </row>
    <row r="511" ht="15.75" customHeight="1">
      <c r="D511" s="27"/>
      <c r="G511" s="12"/>
    </row>
    <row r="512" ht="15.75" customHeight="1">
      <c r="D512" s="27"/>
      <c r="G512" s="12"/>
    </row>
    <row r="513" ht="15.75" customHeight="1">
      <c r="D513" s="27"/>
      <c r="G513" s="12"/>
    </row>
    <row r="514" ht="15.75" customHeight="1">
      <c r="D514" s="27"/>
      <c r="G514" s="12"/>
    </row>
    <row r="515" ht="15.75" customHeight="1">
      <c r="D515" s="27"/>
      <c r="G515" s="12"/>
    </row>
    <row r="516" ht="15.75" customHeight="1">
      <c r="D516" s="27"/>
      <c r="G516" s="12"/>
    </row>
    <row r="517" ht="15.75" customHeight="1">
      <c r="D517" s="27"/>
      <c r="G517" s="12"/>
    </row>
    <row r="518" ht="15.75" customHeight="1">
      <c r="D518" s="27"/>
      <c r="G518" s="12"/>
    </row>
    <row r="519" ht="15.75" customHeight="1">
      <c r="D519" s="27"/>
      <c r="G519" s="12"/>
    </row>
    <row r="520" ht="15.75" customHeight="1">
      <c r="D520" s="27"/>
      <c r="G520" s="12"/>
    </row>
    <row r="521" ht="15.75" customHeight="1">
      <c r="D521" s="27"/>
      <c r="G521" s="12"/>
    </row>
    <row r="522" ht="15.75" customHeight="1">
      <c r="D522" s="27"/>
      <c r="G522" s="12"/>
    </row>
    <row r="523" ht="15.75" customHeight="1">
      <c r="D523" s="27"/>
      <c r="G523" s="12"/>
    </row>
    <row r="524" ht="15.75" customHeight="1">
      <c r="D524" s="27"/>
      <c r="G524" s="12"/>
    </row>
    <row r="525" ht="15.75" customHeight="1">
      <c r="D525" s="27"/>
      <c r="G525" s="12"/>
    </row>
    <row r="526" ht="15.75" customHeight="1">
      <c r="D526" s="27"/>
      <c r="G526" s="12"/>
    </row>
    <row r="527" ht="15.75" customHeight="1">
      <c r="D527" s="27"/>
      <c r="G527" s="12"/>
    </row>
    <row r="528" ht="15.75" customHeight="1">
      <c r="D528" s="27"/>
      <c r="G528" s="12"/>
    </row>
    <row r="529" ht="15.75" customHeight="1">
      <c r="D529" s="27"/>
      <c r="G529" s="12"/>
    </row>
    <row r="530" ht="15.75" customHeight="1">
      <c r="D530" s="27"/>
      <c r="G530" s="12"/>
    </row>
    <row r="531" ht="15.75" customHeight="1">
      <c r="D531" s="27"/>
      <c r="G531" s="12"/>
    </row>
    <row r="532" ht="15.75" customHeight="1">
      <c r="D532" s="27"/>
      <c r="G532" s="12"/>
    </row>
    <row r="533" ht="15.75" customHeight="1">
      <c r="D533" s="27"/>
      <c r="G533" s="12"/>
    </row>
    <row r="534" ht="15.75" customHeight="1">
      <c r="D534" s="27"/>
      <c r="G534" s="12"/>
    </row>
    <row r="535" ht="15.75" customHeight="1">
      <c r="D535" s="27"/>
      <c r="G535" s="12"/>
    </row>
    <row r="536" ht="15.75" customHeight="1">
      <c r="D536" s="27"/>
      <c r="G536" s="12"/>
    </row>
    <row r="537" ht="15.75" customHeight="1">
      <c r="D537" s="27"/>
      <c r="G537" s="12"/>
    </row>
    <row r="538" ht="15.75" customHeight="1">
      <c r="D538" s="27"/>
      <c r="G538" s="12"/>
    </row>
    <row r="539" ht="15.75" customHeight="1">
      <c r="D539" s="27"/>
      <c r="G539" s="12"/>
    </row>
    <row r="540" ht="15.75" customHeight="1">
      <c r="D540" s="27"/>
      <c r="G540" s="12"/>
    </row>
    <row r="541" ht="15.75" customHeight="1">
      <c r="D541" s="27"/>
      <c r="G541" s="12"/>
    </row>
    <row r="542" ht="15.75" customHeight="1">
      <c r="D542" s="27"/>
      <c r="G542" s="12"/>
    </row>
    <row r="543" ht="15.75" customHeight="1">
      <c r="D543" s="27"/>
      <c r="G543" s="12"/>
    </row>
    <row r="544" ht="15.75" customHeight="1">
      <c r="D544" s="27"/>
      <c r="G544" s="12"/>
    </row>
    <row r="545" ht="15.75" customHeight="1">
      <c r="D545" s="27"/>
      <c r="G545" s="12"/>
    </row>
    <row r="546" ht="15.75" customHeight="1">
      <c r="D546" s="27"/>
      <c r="G546" s="12"/>
    </row>
    <row r="547" ht="15.75" customHeight="1">
      <c r="D547" s="27"/>
      <c r="G547" s="12"/>
    </row>
    <row r="548" ht="15.75" customHeight="1">
      <c r="D548" s="27"/>
      <c r="G548" s="12"/>
    </row>
    <row r="549" ht="15.75" customHeight="1">
      <c r="D549" s="27"/>
      <c r="G549" s="12"/>
    </row>
    <row r="550" ht="15.75" customHeight="1">
      <c r="D550" s="27"/>
      <c r="G550" s="12"/>
    </row>
    <row r="551" ht="15.75" customHeight="1">
      <c r="D551" s="27"/>
      <c r="G551" s="12"/>
    </row>
    <row r="552" ht="15.75" customHeight="1">
      <c r="D552" s="27"/>
      <c r="G552" s="12"/>
    </row>
    <row r="553" ht="15.75" customHeight="1">
      <c r="D553" s="27"/>
      <c r="G553" s="12"/>
    </row>
    <row r="554" ht="15.75" customHeight="1">
      <c r="D554" s="27"/>
      <c r="G554" s="12"/>
    </row>
    <row r="555" ht="15.75" customHeight="1">
      <c r="D555" s="27"/>
      <c r="G555" s="12"/>
    </row>
    <row r="556" ht="15.75" customHeight="1">
      <c r="D556" s="27"/>
      <c r="G556" s="12"/>
    </row>
    <row r="557" ht="15.75" customHeight="1">
      <c r="D557" s="27"/>
      <c r="G557" s="12"/>
    </row>
    <row r="558" ht="15.75" customHeight="1">
      <c r="D558" s="27"/>
      <c r="G558" s="12"/>
    </row>
    <row r="559" ht="15.75" customHeight="1">
      <c r="D559" s="27"/>
      <c r="G559" s="12"/>
    </row>
    <row r="560" ht="15.75" customHeight="1">
      <c r="D560" s="27"/>
      <c r="G560" s="12"/>
    </row>
    <row r="561" ht="15.75" customHeight="1">
      <c r="D561" s="27"/>
      <c r="G561" s="12"/>
    </row>
    <row r="562" ht="15.75" customHeight="1">
      <c r="D562" s="27"/>
      <c r="G562" s="12"/>
    </row>
    <row r="563" ht="15.75" customHeight="1">
      <c r="D563" s="27"/>
      <c r="G563" s="12"/>
    </row>
    <row r="564" ht="15.75" customHeight="1">
      <c r="D564" s="27"/>
      <c r="G564" s="12"/>
    </row>
    <row r="565" ht="15.75" customHeight="1">
      <c r="D565" s="27"/>
      <c r="G565" s="12"/>
    </row>
    <row r="566" ht="15.75" customHeight="1">
      <c r="D566" s="27"/>
      <c r="G566" s="12"/>
    </row>
    <row r="567" ht="15.75" customHeight="1">
      <c r="D567" s="27"/>
      <c r="G567" s="12"/>
    </row>
    <row r="568" ht="15.75" customHeight="1">
      <c r="D568" s="27"/>
      <c r="G568" s="12"/>
    </row>
    <row r="569" ht="15.75" customHeight="1">
      <c r="D569" s="27"/>
      <c r="G569" s="12"/>
    </row>
    <row r="570" ht="15.75" customHeight="1">
      <c r="D570" s="27"/>
      <c r="G570" s="12"/>
    </row>
    <row r="571" ht="15.75" customHeight="1">
      <c r="D571" s="27"/>
      <c r="G571" s="12"/>
    </row>
    <row r="572" ht="15.75" customHeight="1">
      <c r="D572" s="27"/>
      <c r="G572" s="12"/>
    </row>
    <row r="573" ht="15.75" customHeight="1">
      <c r="D573" s="27"/>
      <c r="G573" s="12"/>
    </row>
    <row r="574" ht="15.75" customHeight="1">
      <c r="D574" s="27"/>
      <c r="G574" s="12"/>
    </row>
    <row r="575" ht="15.75" customHeight="1">
      <c r="D575" s="27"/>
      <c r="G575" s="12"/>
    </row>
    <row r="576" ht="15.75" customHeight="1">
      <c r="D576" s="27"/>
      <c r="G576" s="12"/>
    </row>
    <row r="577" ht="15.75" customHeight="1">
      <c r="D577" s="27"/>
      <c r="G577" s="12"/>
    </row>
    <row r="578" ht="15.75" customHeight="1">
      <c r="D578" s="27"/>
      <c r="G578" s="12"/>
    </row>
    <row r="579" ht="15.75" customHeight="1">
      <c r="D579" s="27"/>
      <c r="G579" s="12"/>
    </row>
    <row r="580" ht="15.75" customHeight="1">
      <c r="D580" s="27"/>
      <c r="G580" s="12"/>
    </row>
    <row r="581" ht="15.75" customHeight="1">
      <c r="D581" s="27"/>
      <c r="G581" s="12"/>
    </row>
    <row r="582" ht="15.75" customHeight="1">
      <c r="D582" s="27"/>
      <c r="G582" s="12"/>
    </row>
    <row r="583" ht="15.75" customHeight="1">
      <c r="D583" s="27"/>
      <c r="G583" s="12"/>
    </row>
    <row r="584" ht="15.75" customHeight="1">
      <c r="D584" s="27"/>
      <c r="G584" s="12"/>
    </row>
    <row r="585" ht="15.75" customHeight="1">
      <c r="D585" s="27"/>
      <c r="G585" s="12"/>
    </row>
    <row r="586" ht="15.75" customHeight="1">
      <c r="D586" s="27"/>
      <c r="G586" s="12"/>
    </row>
    <row r="587" ht="15.75" customHeight="1">
      <c r="D587" s="27"/>
      <c r="G587" s="12"/>
    </row>
    <row r="588" ht="15.75" customHeight="1">
      <c r="D588" s="27"/>
      <c r="G588" s="12"/>
    </row>
    <row r="589" ht="15.75" customHeight="1">
      <c r="D589" s="27"/>
      <c r="G589" s="12"/>
    </row>
    <row r="590" ht="15.75" customHeight="1">
      <c r="D590" s="27"/>
      <c r="G590" s="12"/>
    </row>
    <row r="591" ht="15.75" customHeight="1">
      <c r="D591" s="27"/>
      <c r="G591" s="12"/>
    </row>
    <row r="592" ht="15.75" customHeight="1">
      <c r="D592" s="27"/>
      <c r="G592" s="12"/>
    </row>
    <row r="593" ht="15.75" customHeight="1">
      <c r="D593" s="27"/>
      <c r="G593" s="12"/>
    </row>
    <row r="594" ht="15.75" customHeight="1">
      <c r="D594" s="27"/>
      <c r="G594" s="12"/>
    </row>
    <row r="595" ht="15.75" customHeight="1">
      <c r="D595" s="27"/>
      <c r="G595" s="12"/>
    </row>
    <row r="596" ht="15.75" customHeight="1">
      <c r="D596" s="27"/>
      <c r="G596" s="12"/>
    </row>
    <row r="597" ht="15.75" customHeight="1">
      <c r="D597" s="27"/>
      <c r="G597" s="12"/>
    </row>
    <row r="598" ht="15.75" customHeight="1">
      <c r="D598" s="27"/>
      <c r="G598" s="12"/>
    </row>
    <row r="599" ht="15.75" customHeight="1">
      <c r="D599" s="27"/>
      <c r="G599" s="12"/>
    </row>
    <row r="600" ht="15.75" customHeight="1">
      <c r="D600" s="27"/>
      <c r="G600" s="12"/>
    </row>
    <row r="601" ht="15.75" customHeight="1">
      <c r="D601" s="27"/>
      <c r="G601" s="12"/>
    </row>
    <row r="602" ht="15.75" customHeight="1">
      <c r="D602" s="27"/>
      <c r="G602" s="12"/>
    </row>
    <row r="603" ht="15.75" customHeight="1">
      <c r="D603" s="27"/>
      <c r="G603" s="12"/>
    </row>
    <row r="604" ht="15.75" customHeight="1">
      <c r="D604" s="27"/>
      <c r="G604" s="12"/>
    </row>
    <row r="605" ht="15.75" customHeight="1">
      <c r="D605" s="27"/>
      <c r="G605" s="12"/>
    </row>
    <row r="606" ht="15.75" customHeight="1">
      <c r="D606" s="27"/>
      <c r="G606" s="12"/>
    </row>
    <row r="607" ht="15.75" customHeight="1">
      <c r="D607" s="27"/>
      <c r="G607" s="12"/>
    </row>
    <row r="608" ht="15.75" customHeight="1">
      <c r="D608" s="27"/>
      <c r="G608" s="12"/>
    </row>
    <row r="609" ht="15.75" customHeight="1">
      <c r="D609" s="27"/>
      <c r="G609" s="12"/>
    </row>
    <row r="610" ht="15.75" customHeight="1">
      <c r="D610" s="27"/>
      <c r="G610" s="12"/>
    </row>
    <row r="611" ht="15.75" customHeight="1">
      <c r="D611" s="27"/>
      <c r="G611" s="12"/>
    </row>
    <row r="612" ht="15.75" customHeight="1">
      <c r="D612" s="27"/>
      <c r="G612" s="12"/>
    </row>
    <row r="613" ht="15.75" customHeight="1">
      <c r="D613" s="27"/>
      <c r="G613" s="12"/>
    </row>
    <row r="614" ht="15.75" customHeight="1">
      <c r="D614" s="27"/>
      <c r="G614" s="12"/>
    </row>
    <row r="615" ht="15.75" customHeight="1">
      <c r="D615" s="27"/>
      <c r="G615" s="12"/>
    </row>
    <row r="616" ht="15.75" customHeight="1">
      <c r="D616" s="27"/>
      <c r="G616" s="12"/>
    </row>
    <row r="617" ht="15.75" customHeight="1">
      <c r="D617" s="27"/>
      <c r="G617" s="12"/>
    </row>
    <row r="618" ht="15.75" customHeight="1">
      <c r="D618" s="27"/>
      <c r="G618" s="12"/>
    </row>
    <row r="619" ht="15.75" customHeight="1">
      <c r="D619" s="27"/>
      <c r="G619" s="12"/>
    </row>
    <row r="620" ht="15.75" customHeight="1">
      <c r="D620" s="27"/>
      <c r="G620" s="12"/>
    </row>
    <row r="621" ht="15.75" customHeight="1">
      <c r="D621" s="27"/>
      <c r="G621" s="12"/>
    </row>
    <row r="622" ht="15.75" customHeight="1">
      <c r="D622" s="27"/>
      <c r="G622" s="12"/>
    </row>
    <row r="623" ht="15.75" customHeight="1">
      <c r="D623" s="27"/>
      <c r="G623" s="12"/>
    </row>
    <row r="624" ht="15.75" customHeight="1">
      <c r="D624" s="27"/>
      <c r="G624" s="12"/>
    </row>
    <row r="625" ht="15.75" customHeight="1">
      <c r="D625" s="27"/>
      <c r="G625" s="12"/>
    </row>
    <row r="626" ht="15.75" customHeight="1">
      <c r="D626" s="27"/>
      <c r="G626" s="12"/>
    </row>
    <row r="627" ht="15.75" customHeight="1">
      <c r="D627" s="27"/>
      <c r="G627" s="12"/>
    </row>
    <row r="628" ht="15.75" customHeight="1">
      <c r="D628" s="27"/>
      <c r="G628" s="12"/>
    </row>
    <row r="629" ht="15.75" customHeight="1">
      <c r="D629" s="27"/>
      <c r="G629" s="12"/>
    </row>
    <row r="630" ht="15.75" customHeight="1">
      <c r="D630" s="27"/>
      <c r="G630" s="12"/>
    </row>
    <row r="631" ht="15.75" customHeight="1">
      <c r="D631" s="27"/>
      <c r="G631" s="12"/>
    </row>
    <row r="632" ht="15.75" customHeight="1">
      <c r="D632" s="27"/>
      <c r="G632" s="12"/>
    </row>
    <row r="633" ht="15.75" customHeight="1">
      <c r="D633" s="27"/>
      <c r="G633" s="12"/>
    </row>
    <row r="634" ht="15.75" customHeight="1">
      <c r="D634" s="27"/>
      <c r="G634" s="12"/>
    </row>
    <row r="635" ht="15.75" customHeight="1">
      <c r="D635" s="27"/>
      <c r="G635" s="12"/>
    </row>
    <row r="636" ht="15.75" customHeight="1">
      <c r="D636" s="27"/>
      <c r="G636" s="12"/>
    </row>
    <row r="637" ht="15.75" customHeight="1">
      <c r="D637" s="27"/>
      <c r="G637" s="12"/>
    </row>
    <row r="638" ht="15.75" customHeight="1">
      <c r="D638" s="27"/>
      <c r="G638" s="12"/>
    </row>
    <row r="639" ht="15.75" customHeight="1">
      <c r="D639" s="27"/>
      <c r="G639" s="12"/>
    </row>
    <row r="640" ht="15.75" customHeight="1">
      <c r="D640" s="27"/>
      <c r="G640" s="12"/>
    </row>
    <row r="641" ht="15.75" customHeight="1">
      <c r="D641" s="27"/>
      <c r="G641" s="12"/>
    </row>
    <row r="642" ht="15.75" customHeight="1">
      <c r="D642" s="27"/>
      <c r="G642" s="12"/>
    </row>
    <row r="643" ht="15.75" customHeight="1">
      <c r="D643" s="27"/>
      <c r="G643" s="12"/>
    </row>
    <row r="644" ht="15.75" customHeight="1">
      <c r="D644" s="27"/>
      <c r="G644" s="12"/>
    </row>
    <row r="645" ht="15.75" customHeight="1">
      <c r="D645" s="27"/>
      <c r="G645" s="12"/>
    </row>
    <row r="646" ht="15.75" customHeight="1">
      <c r="D646" s="27"/>
      <c r="G646" s="12"/>
    </row>
    <row r="647" ht="15.75" customHeight="1">
      <c r="D647" s="27"/>
      <c r="G647" s="12"/>
    </row>
    <row r="648" ht="15.75" customHeight="1">
      <c r="D648" s="27"/>
      <c r="G648" s="12"/>
    </row>
    <row r="649" ht="15.75" customHeight="1">
      <c r="D649" s="27"/>
      <c r="G649" s="12"/>
    </row>
    <row r="650" ht="15.75" customHeight="1">
      <c r="D650" s="27"/>
      <c r="G650" s="12"/>
    </row>
    <row r="651" ht="15.75" customHeight="1">
      <c r="D651" s="27"/>
      <c r="G651" s="12"/>
    </row>
    <row r="652" ht="15.75" customHeight="1">
      <c r="D652" s="27"/>
      <c r="G652" s="12"/>
    </row>
    <row r="653" ht="15.75" customHeight="1">
      <c r="D653" s="27"/>
      <c r="G653" s="12"/>
    </row>
    <row r="654" ht="15.75" customHeight="1">
      <c r="D654" s="27"/>
      <c r="G654" s="12"/>
    </row>
    <row r="655" ht="15.75" customHeight="1">
      <c r="D655" s="27"/>
      <c r="G655" s="12"/>
    </row>
    <row r="656" ht="15.75" customHeight="1">
      <c r="D656" s="27"/>
      <c r="G656" s="12"/>
    </row>
    <row r="657" ht="15.75" customHeight="1">
      <c r="D657" s="27"/>
      <c r="G657" s="12"/>
    </row>
    <row r="658" ht="15.75" customHeight="1">
      <c r="D658" s="27"/>
      <c r="G658" s="12"/>
    </row>
    <row r="659" ht="15.75" customHeight="1">
      <c r="D659" s="27"/>
      <c r="G659" s="12"/>
    </row>
    <row r="660" ht="15.75" customHeight="1">
      <c r="D660" s="27"/>
      <c r="G660" s="12"/>
    </row>
    <row r="661" ht="15.75" customHeight="1">
      <c r="D661" s="27"/>
      <c r="G661" s="12"/>
    </row>
    <row r="662" ht="15.75" customHeight="1">
      <c r="D662" s="27"/>
      <c r="G662" s="12"/>
    </row>
    <row r="663" ht="15.75" customHeight="1">
      <c r="D663" s="27"/>
      <c r="G663" s="12"/>
    </row>
    <row r="664" ht="15.75" customHeight="1">
      <c r="D664" s="27"/>
      <c r="G664" s="12"/>
    </row>
    <row r="665" ht="15.75" customHeight="1">
      <c r="D665" s="27"/>
      <c r="G665" s="12"/>
    </row>
    <row r="666" ht="15.75" customHeight="1">
      <c r="D666" s="27"/>
      <c r="G666" s="12"/>
    </row>
    <row r="667" ht="15.75" customHeight="1">
      <c r="D667" s="27"/>
      <c r="G667" s="12"/>
    </row>
    <row r="668" ht="15.75" customHeight="1">
      <c r="D668" s="27"/>
      <c r="G668" s="12"/>
    </row>
    <row r="669" ht="15.75" customHeight="1">
      <c r="D669" s="27"/>
      <c r="G669" s="12"/>
    </row>
    <row r="670" ht="15.75" customHeight="1">
      <c r="D670" s="27"/>
      <c r="G670" s="12"/>
    </row>
    <row r="671" ht="15.75" customHeight="1">
      <c r="D671" s="27"/>
      <c r="G671" s="12"/>
    </row>
    <row r="672" ht="15.75" customHeight="1">
      <c r="D672" s="27"/>
      <c r="G672" s="12"/>
    </row>
    <row r="673" ht="15.75" customHeight="1">
      <c r="D673" s="27"/>
      <c r="G673" s="12"/>
    </row>
    <row r="674" ht="15.75" customHeight="1">
      <c r="D674" s="27"/>
      <c r="G674" s="12"/>
    </row>
    <row r="675" ht="15.75" customHeight="1">
      <c r="D675" s="27"/>
      <c r="G675" s="12"/>
    </row>
    <row r="676" ht="15.75" customHeight="1">
      <c r="D676" s="27"/>
      <c r="G676" s="12"/>
    </row>
    <row r="677" ht="15.75" customHeight="1">
      <c r="D677" s="27"/>
      <c r="G677" s="12"/>
    </row>
    <row r="678" ht="15.75" customHeight="1">
      <c r="D678" s="27"/>
      <c r="G678" s="12"/>
    </row>
    <row r="679" ht="15.75" customHeight="1">
      <c r="D679" s="27"/>
      <c r="G679" s="12"/>
    </row>
    <row r="680" ht="15.75" customHeight="1">
      <c r="D680" s="27"/>
      <c r="G680" s="12"/>
    </row>
    <row r="681" ht="15.75" customHeight="1">
      <c r="D681" s="27"/>
      <c r="G681" s="12"/>
    </row>
    <row r="682" ht="15.75" customHeight="1">
      <c r="D682" s="27"/>
      <c r="G682" s="12"/>
    </row>
    <row r="683" ht="15.75" customHeight="1">
      <c r="D683" s="27"/>
      <c r="G683" s="12"/>
    </row>
    <row r="684" ht="15.75" customHeight="1">
      <c r="D684" s="27"/>
      <c r="G684" s="12"/>
    </row>
    <row r="685" ht="15.75" customHeight="1">
      <c r="D685" s="27"/>
      <c r="G685" s="12"/>
    </row>
    <row r="686" ht="15.75" customHeight="1">
      <c r="D686" s="27"/>
      <c r="G686" s="12"/>
    </row>
    <row r="687" ht="15.75" customHeight="1">
      <c r="D687" s="27"/>
      <c r="G687" s="12"/>
    </row>
    <row r="688" ht="15.75" customHeight="1">
      <c r="D688" s="27"/>
      <c r="G688" s="12"/>
    </row>
    <row r="689" ht="15.75" customHeight="1">
      <c r="D689" s="27"/>
      <c r="G689" s="12"/>
    </row>
    <row r="690" ht="15.75" customHeight="1">
      <c r="D690" s="27"/>
      <c r="G690" s="12"/>
    </row>
    <row r="691" ht="15.75" customHeight="1">
      <c r="D691" s="27"/>
      <c r="G691" s="12"/>
    </row>
    <row r="692" ht="15.75" customHeight="1">
      <c r="D692" s="27"/>
      <c r="G692" s="12"/>
    </row>
    <row r="693" ht="15.75" customHeight="1">
      <c r="D693" s="27"/>
      <c r="G693" s="12"/>
    </row>
    <row r="694" ht="15.75" customHeight="1">
      <c r="D694" s="27"/>
      <c r="G694" s="12"/>
    </row>
    <row r="695" ht="15.75" customHeight="1">
      <c r="D695" s="27"/>
      <c r="G695" s="12"/>
    </row>
    <row r="696" ht="15.75" customHeight="1">
      <c r="D696" s="27"/>
      <c r="G696" s="12"/>
    </row>
    <row r="697" ht="15.75" customHeight="1">
      <c r="D697" s="27"/>
      <c r="G697" s="12"/>
    </row>
    <row r="698" ht="15.75" customHeight="1">
      <c r="D698" s="27"/>
      <c r="G698" s="12"/>
    </row>
    <row r="699" ht="15.75" customHeight="1">
      <c r="D699" s="27"/>
      <c r="G699" s="12"/>
    </row>
    <row r="700" ht="15.75" customHeight="1">
      <c r="D700" s="27"/>
      <c r="G700" s="12"/>
    </row>
    <row r="701" ht="15.75" customHeight="1">
      <c r="D701" s="27"/>
      <c r="G701" s="12"/>
    </row>
    <row r="702" ht="15.75" customHeight="1">
      <c r="D702" s="27"/>
      <c r="G702" s="12"/>
    </row>
    <row r="703" ht="15.75" customHeight="1">
      <c r="D703" s="27"/>
      <c r="G703" s="12"/>
    </row>
    <row r="704" ht="15.75" customHeight="1">
      <c r="D704" s="27"/>
      <c r="G704" s="12"/>
    </row>
    <row r="705" ht="15.75" customHeight="1">
      <c r="D705" s="27"/>
      <c r="G705" s="12"/>
    </row>
    <row r="706" ht="15.75" customHeight="1">
      <c r="D706" s="27"/>
      <c r="G706" s="12"/>
    </row>
    <row r="707" ht="15.75" customHeight="1">
      <c r="D707" s="27"/>
      <c r="G707" s="12"/>
    </row>
    <row r="708" ht="15.75" customHeight="1">
      <c r="D708" s="27"/>
      <c r="G708" s="12"/>
    </row>
    <row r="709" ht="15.75" customHeight="1">
      <c r="D709" s="27"/>
      <c r="G709" s="12"/>
    </row>
    <row r="710" ht="15.75" customHeight="1">
      <c r="D710" s="27"/>
      <c r="G710" s="12"/>
    </row>
    <row r="711" ht="15.75" customHeight="1">
      <c r="D711" s="27"/>
      <c r="G711" s="12"/>
    </row>
    <row r="712" ht="15.75" customHeight="1">
      <c r="D712" s="27"/>
      <c r="G712" s="12"/>
    </row>
    <row r="713" ht="15.75" customHeight="1">
      <c r="D713" s="27"/>
      <c r="G713" s="12"/>
    </row>
    <row r="714" ht="15.75" customHeight="1">
      <c r="D714" s="27"/>
      <c r="G714" s="12"/>
    </row>
    <row r="715" ht="15.75" customHeight="1">
      <c r="D715" s="27"/>
      <c r="G715" s="12"/>
    </row>
    <row r="716" ht="15.75" customHeight="1">
      <c r="D716" s="27"/>
      <c r="G716" s="12"/>
    </row>
    <row r="717" ht="15.75" customHeight="1">
      <c r="D717" s="27"/>
      <c r="G717" s="12"/>
    </row>
    <row r="718" ht="15.75" customHeight="1">
      <c r="D718" s="27"/>
      <c r="G718" s="12"/>
    </row>
    <row r="719" ht="15.75" customHeight="1">
      <c r="D719" s="27"/>
      <c r="G719" s="12"/>
    </row>
    <row r="720" ht="15.75" customHeight="1">
      <c r="D720" s="27"/>
      <c r="G720" s="12"/>
    </row>
    <row r="721" ht="15.75" customHeight="1">
      <c r="D721" s="27"/>
      <c r="G721" s="12"/>
    </row>
    <row r="722" ht="15.75" customHeight="1">
      <c r="D722" s="27"/>
      <c r="G722" s="12"/>
    </row>
    <row r="723" ht="15.75" customHeight="1">
      <c r="D723" s="27"/>
      <c r="G723" s="12"/>
    </row>
    <row r="724" ht="15.75" customHeight="1">
      <c r="D724" s="27"/>
      <c r="G724" s="12"/>
    </row>
    <row r="725" ht="15.75" customHeight="1">
      <c r="D725" s="27"/>
      <c r="G725" s="12"/>
    </row>
    <row r="726" ht="15.75" customHeight="1">
      <c r="D726" s="27"/>
      <c r="G726" s="12"/>
    </row>
    <row r="727" ht="15.75" customHeight="1">
      <c r="D727" s="27"/>
      <c r="G727" s="12"/>
    </row>
    <row r="728" ht="15.75" customHeight="1">
      <c r="D728" s="27"/>
      <c r="G728" s="12"/>
    </row>
    <row r="729" ht="15.75" customHeight="1">
      <c r="D729" s="27"/>
      <c r="G729" s="12"/>
    </row>
    <row r="730" ht="15.75" customHeight="1">
      <c r="D730" s="27"/>
      <c r="G730" s="12"/>
    </row>
    <row r="731" ht="15.75" customHeight="1">
      <c r="D731" s="27"/>
      <c r="G731" s="12"/>
    </row>
    <row r="732" ht="15.75" customHeight="1">
      <c r="D732" s="27"/>
      <c r="G732" s="12"/>
    </row>
    <row r="733" ht="15.75" customHeight="1">
      <c r="D733" s="27"/>
      <c r="G733" s="12"/>
    </row>
    <row r="734" ht="15.75" customHeight="1">
      <c r="D734" s="27"/>
      <c r="G734" s="12"/>
    </row>
    <row r="735" ht="15.75" customHeight="1">
      <c r="D735" s="27"/>
      <c r="G735" s="12"/>
    </row>
    <row r="736" ht="15.75" customHeight="1">
      <c r="D736" s="27"/>
      <c r="G736" s="12"/>
    </row>
    <row r="737" ht="15.75" customHeight="1">
      <c r="D737" s="27"/>
      <c r="G737" s="12"/>
    </row>
    <row r="738" ht="15.75" customHeight="1">
      <c r="D738" s="27"/>
      <c r="G738" s="12"/>
    </row>
    <row r="739" ht="15.75" customHeight="1">
      <c r="D739" s="27"/>
      <c r="G739" s="12"/>
    </row>
    <row r="740" ht="15.75" customHeight="1">
      <c r="D740" s="27"/>
      <c r="G740" s="12"/>
    </row>
    <row r="741" ht="15.75" customHeight="1">
      <c r="D741" s="27"/>
      <c r="G741" s="12"/>
    </row>
    <row r="742" ht="15.75" customHeight="1">
      <c r="D742" s="27"/>
      <c r="G742" s="12"/>
    </row>
    <row r="743" ht="15.75" customHeight="1">
      <c r="D743" s="27"/>
      <c r="G743" s="12"/>
    </row>
    <row r="744" ht="15.75" customHeight="1">
      <c r="D744" s="27"/>
      <c r="G744" s="12"/>
    </row>
    <row r="745" ht="15.75" customHeight="1">
      <c r="D745" s="27"/>
      <c r="G745" s="12"/>
    </row>
    <row r="746" ht="15.75" customHeight="1">
      <c r="D746" s="27"/>
      <c r="G746" s="12"/>
    </row>
    <row r="747" ht="15.75" customHeight="1">
      <c r="D747" s="27"/>
      <c r="G747" s="12"/>
    </row>
    <row r="748" ht="15.75" customHeight="1">
      <c r="D748" s="27"/>
      <c r="G748" s="12"/>
    </row>
    <row r="749" ht="15.75" customHeight="1">
      <c r="D749" s="27"/>
      <c r="G749" s="12"/>
    </row>
    <row r="750" ht="15.75" customHeight="1">
      <c r="D750" s="27"/>
      <c r="G750" s="12"/>
    </row>
    <row r="751" ht="15.75" customHeight="1">
      <c r="D751" s="27"/>
      <c r="G751" s="12"/>
    </row>
    <row r="752" ht="15.75" customHeight="1">
      <c r="D752" s="27"/>
      <c r="G752" s="12"/>
    </row>
    <row r="753" ht="15.75" customHeight="1">
      <c r="D753" s="27"/>
      <c r="G753" s="12"/>
    </row>
    <row r="754" ht="15.75" customHeight="1">
      <c r="D754" s="27"/>
      <c r="G754" s="12"/>
    </row>
    <row r="755" ht="15.75" customHeight="1">
      <c r="D755" s="27"/>
      <c r="G755" s="12"/>
    </row>
    <row r="756" ht="15.75" customHeight="1">
      <c r="D756" s="27"/>
      <c r="G756" s="12"/>
    </row>
    <row r="757" ht="15.75" customHeight="1">
      <c r="D757" s="27"/>
      <c r="G757" s="12"/>
    </row>
    <row r="758" ht="15.75" customHeight="1">
      <c r="D758" s="27"/>
      <c r="G758" s="12"/>
    </row>
    <row r="759" ht="15.75" customHeight="1">
      <c r="D759" s="27"/>
      <c r="G759" s="12"/>
    </row>
    <row r="760" ht="15.75" customHeight="1">
      <c r="D760" s="27"/>
      <c r="G760" s="12"/>
    </row>
    <row r="761" ht="15.75" customHeight="1">
      <c r="D761" s="27"/>
      <c r="G761" s="12"/>
    </row>
    <row r="762" ht="15.75" customHeight="1">
      <c r="D762" s="27"/>
      <c r="G762" s="12"/>
    </row>
    <row r="763" ht="15.75" customHeight="1">
      <c r="D763" s="27"/>
      <c r="G763" s="12"/>
    </row>
    <row r="764" ht="15.75" customHeight="1">
      <c r="D764" s="27"/>
      <c r="G764" s="12"/>
    </row>
    <row r="765" ht="15.75" customHeight="1">
      <c r="D765" s="27"/>
      <c r="G765" s="12"/>
    </row>
    <row r="766" ht="15.75" customHeight="1">
      <c r="D766" s="27"/>
      <c r="G766" s="12"/>
    </row>
    <row r="767" ht="15.75" customHeight="1">
      <c r="D767" s="27"/>
      <c r="G767" s="12"/>
    </row>
    <row r="768" ht="15.75" customHeight="1">
      <c r="D768" s="27"/>
      <c r="G768" s="12"/>
    </row>
    <row r="769" ht="15.75" customHeight="1">
      <c r="D769" s="27"/>
      <c r="G769" s="12"/>
    </row>
    <row r="770" ht="15.75" customHeight="1">
      <c r="D770" s="27"/>
      <c r="G770" s="12"/>
    </row>
    <row r="771" ht="15.75" customHeight="1">
      <c r="D771" s="27"/>
      <c r="G771" s="12"/>
    </row>
    <row r="772" ht="15.75" customHeight="1">
      <c r="D772" s="27"/>
      <c r="G772" s="12"/>
    </row>
    <row r="773" ht="15.75" customHeight="1">
      <c r="D773" s="27"/>
      <c r="G773" s="12"/>
    </row>
    <row r="774" ht="15.75" customHeight="1">
      <c r="D774" s="27"/>
      <c r="G774" s="12"/>
    </row>
    <row r="775" ht="15.75" customHeight="1">
      <c r="D775" s="27"/>
      <c r="G775" s="12"/>
    </row>
    <row r="776" ht="15.75" customHeight="1">
      <c r="D776" s="27"/>
      <c r="G776" s="12"/>
    </row>
    <row r="777" ht="15.75" customHeight="1">
      <c r="D777" s="27"/>
      <c r="G777" s="12"/>
    </row>
    <row r="778" ht="15.75" customHeight="1">
      <c r="D778" s="27"/>
      <c r="G778" s="12"/>
    </row>
    <row r="779" ht="15.75" customHeight="1">
      <c r="D779" s="27"/>
      <c r="G779" s="12"/>
    </row>
    <row r="780" ht="15.75" customHeight="1">
      <c r="D780" s="27"/>
      <c r="G780" s="12"/>
    </row>
    <row r="781" ht="15.75" customHeight="1">
      <c r="D781" s="27"/>
      <c r="G781" s="12"/>
    </row>
    <row r="782" ht="15.75" customHeight="1">
      <c r="D782" s="27"/>
      <c r="G782" s="12"/>
    </row>
    <row r="783" ht="15.75" customHeight="1">
      <c r="D783" s="27"/>
      <c r="G783" s="12"/>
    </row>
    <row r="784" ht="15.75" customHeight="1">
      <c r="D784" s="27"/>
      <c r="G784" s="12"/>
    </row>
    <row r="785" ht="15.75" customHeight="1">
      <c r="D785" s="27"/>
      <c r="G785" s="12"/>
    </row>
    <row r="786" ht="15.75" customHeight="1">
      <c r="D786" s="27"/>
      <c r="G786" s="12"/>
    </row>
    <row r="787" ht="15.75" customHeight="1">
      <c r="D787" s="27"/>
      <c r="G787" s="12"/>
    </row>
    <row r="788" ht="15.75" customHeight="1">
      <c r="D788" s="27"/>
      <c r="G788" s="12"/>
    </row>
    <row r="789" ht="15.75" customHeight="1">
      <c r="D789" s="27"/>
      <c r="G789" s="12"/>
    </row>
    <row r="790" ht="15.75" customHeight="1">
      <c r="D790" s="27"/>
      <c r="G790" s="12"/>
    </row>
    <row r="791" ht="15.75" customHeight="1">
      <c r="D791" s="27"/>
      <c r="G791" s="12"/>
    </row>
    <row r="792" ht="15.75" customHeight="1">
      <c r="D792" s="27"/>
      <c r="G792" s="12"/>
    </row>
    <row r="793" ht="15.75" customHeight="1">
      <c r="D793" s="27"/>
      <c r="G793" s="12"/>
    </row>
    <row r="794" ht="15.75" customHeight="1">
      <c r="D794" s="27"/>
      <c r="G794" s="12"/>
    </row>
    <row r="795" ht="15.75" customHeight="1">
      <c r="D795" s="27"/>
      <c r="G795" s="12"/>
    </row>
    <row r="796" ht="15.75" customHeight="1">
      <c r="D796" s="27"/>
      <c r="G796" s="12"/>
    </row>
    <row r="797" ht="15.75" customHeight="1">
      <c r="D797" s="27"/>
      <c r="G797" s="12"/>
    </row>
    <row r="798" ht="15.75" customHeight="1">
      <c r="D798" s="27"/>
      <c r="G798" s="12"/>
    </row>
    <row r="799" ht="15.75" customHeight="1">
      <c r="D799" s="27"/>
      <c r="G799" s="12"/>
    </row>
    <row r="800" ht="15.75" customHeight="1">
      <c r="D800" s="27"/>
      <c r="G800" s="12"/>
    </row>
    <row r="801" ht="15.75" customHeight="1">
      <c r="D801" s="27"/>
      <c r="G801" s="12"/>
    </row>
    <row r="802" ht="15.75" customHeight="1">
      <c r="D802" s="27"/>
      <c r="G802" s="12"/>
    </row>
    <row r="803" ht="15.75" customHeight="1">
      <c r="D803" s="27"/>
      <c r="G803" s="12"/>
    </row>
    <row r="804" ht="15.75" customHeight="1">
      <c r="D804" s="27"/>
      <c r="G804" s="12"/>
    </row>
    <row r="805" ht="15.75" customHeight="1">
      <c r="D805" s="27"/>
      <c r="G805" s="12"/>
    </row>
    <row r="806" ht="15.75" customHeight="1">
      <c r="D806" s="27"/>
      <c r="G806" s="12"/>
    </row>
    <row r="807" ht="15.75" customHeight="1">
      <c r="D807" s="27"/>
      <c r="G807" s="12"/>
    </row>
    <row r="808" ht="15.75" customHeight="1">
      <c r="D808" s="27"/>
      <c r="G808" s="12"/>
    </row>
    <row r="809" ht="15.75" customHeight="1">
      <c r="D809" s="27"/>
      <c r="G809" s="12"/>
    </row>
    <row r="810" ht="15.75" customHeight="1">
      <c r="D810" s="27"/>
      <c r="G810" s="12"/>
    </row>
    <row r="811" ht="15.75" customHeight="1">
      <c r="D811" s="27"/>
      <c r="G811" s="12"/>
    </row>
    <row r="812" ht="15.75" customHeight="1">
      <c r="D812" s="27"/>
      <c r="G812" s="12"/>
    </row>
    <row r="813" ht="15.75" customHeight="1">
      <c r="D813" s="27"/>
      <c r="G813" s="12"/>
    </row>
    <row r="814" ht="15.75" customHeight="1">
      <c r="D814" s="27"/>
      <c r="G814" s="12"/>
    </row>
    <row r="815" ht="15.75" customHeight="1">
      <c r="D815" s="27"/>
      <c r="G815" s="12"/>
    </row>
    <row r="816" ht="15.75" customHeight="1">
      <c r="D816" s="27"/>
      <c r="G816" s="12"/>
    </row>
    <row r="817" ht="15.75" customHeight="1">
      <c r="D817" s="27"/>
      <c r="G817" s="12"/>
    </row>
    <row r="818" ht="15.75" customHeight="1">
      <c r="D818" s="27"/>
      <c r="G818" s="12"/>
    </row>
    <row r="819" ht="15.75" customHeight="1">
      <c r="D819" s="27"/>
      <c r="G819" s="12"/>
    </row>
    <row r="820" ht="15.75" customHeight="1">
      <c r="D820" s="27"/>
      <c r="G820" s="12"/>
    </row>
    <row r="821" ht="15.75" customHeight="1">
      <c r="D821" s="27"/>
      <c r="G821" s="12"/>
    </row>
    <row r="822" ht="15.75" customHeight="1">
      <c r="D822" s="27"/>
      <c r="G822" s="12"/>
    </row>
    <row r="823" ht="15.75" customHeight="1">
      <c r="D823" s="27"/>
      <c r="G823" s="12"/>
    </row>
    <row r="824" ht="15.75" customHeight="1">
      <c r="D824" s="27"/>
      <c r="G824" s="12"/>
    </row>
    <row r="825" ht="15.75" customHeight="1">
      <c r="D825" s="27"/>
      <c r="G825" s="12"/>
    </row>
    <row r="826" ht="15.75" customHeight="1">
      <c r="D826" s="27"/>
      <c r="G826" s="12"/>
    </row>
    <row r="827" ht="15.75" customHeight="1">
      <c r="D827" s="27"/>
      <c r="G827" s="12"/>
    </row>
    <row r="828" ht="15.75" customHeight="1">
      <c r="D828" s="27"/>
      <c r="G828" s="12"/>
    </row>
    <row r="829" ht="15.75" customHeight="1">
      <c r="D829" s="27"/>
      <c r="G829" s="12"/>
    </row>
    <row r="830" ht="15.75" customHeight="1">
      <c r="D830" s="27"/>
      <c r="G830" s="12"/>
    </row>
    <row r="831" ht="15.75" customHeight="1">
      <c r="D831" s="27"/>
      <c r="G831" s="12"/>
    </row>
    <row r="832" ht="15.75" customHeight="1">
      <c r="D832" s="27"/>
      <c r="G832" s="12"/>
    </row>
    <row r="833" ht="15.75" customHeight="1">
      <c r="D833" s="27"/>
      <c r="G833" s="12"/>
    </row>
    <row r="834" ht="15.75" customHeight="1">
      <c r="D834" s="27"/>
      <c r="G834" s="12"/>
    </row>
    <row r="835" ht="15.75" customHeight="1">
      <c r="D835" s="27"/>
      <c r="G835" s="12"/>
    </row>
    <row r="836" ht="15.75" customHeight="1">
      <c r="D836" s="27"/>
      <c r="G836" s="12"/>
    </row>
    <row r="837" ht="15.75" customHeight="1">
      <c r="D837" s="27"/>
      <c r="G837" s="12"/>
    </row>
    <row r="838" ht="15.75" customHeight="1">
      <c r="D838" s="27"/>
      <c r="G838" s="12"/>
    </row>
    <row r="839" ht="15.75" customHeight="1">
      <c r="D839" s="27"/>
      <c r="G839" s="12"/>
    </row>
    <row r="840" ht="15.75" customHeight="1">
      <c r="D840" s="27"/>
      <c r="G840" s="12"/>
    </row>
    <row r="841" ht="15.75" customHeight="1">
      <c r="D841" s="27"/>
      <c r="G841" s="12"/>
    </row>
    <row r="842" ht="15.75" customHeight="1">
      <c r="D842" s="27"/>
      <c r="G842" s="12"/>
    </row>
    <row r="843" ht="15.75" customHeight="1">
      <c r="D843" s="27"/>
      <c r="G843" s="12"/>
    </row>
    <row r="844" ht="15.75" customHeight="1">
      <c r="D844" s="27"/>
      <c r="G844" s="12"/>
    </row>
    <row r="845" ht="15.75" customHeight="1">
      <c r="D845" s="27"/>
      <c r="G845" s="12"/>
    </row>
    <row r="846" ht="15.75" customHeight="1">
      <c r="D846" s="27"/>
      <c r="G846" s="12"/>
    </row>
    <row r="847" ht="15.75" customHeight="1">
      <c r="D847" s="27"/>
      <c r="G847" s="12"/>
    </row>
    <row r="848" ht="15.75" customHeight="1">
      <c r="D848" s="27"/>
      <c r="G848" s="12"/>
    </row>
    <row r="849" ht="15.75" customHeight="1">
      <c r="D849" s="27"/>
      <c r="G849" s="12"/>
    </row>
    <row r="850" ht="15.75" customHeight="1">
      <c r="D850" s="27"/>
      <c r="G850" s="12"/>
    </row>
    <row r="851" ht="15.75" customHeight="1">
      <c r="D851" s="27"/>
      <c r="G851" s="12"/>
    </row>
    <row r="852" ht="15.75" customHeight="1">
      <c r="D852" s="27"/>
      <c r="G852" s="12"/>
    </row>
    <row r="853" ht="15.75" customHeight="1">
      <c r="D853" s="27"/>
      <c r="G853" s="12"/>
    </row>
    <row r="854" ht="15.75" customHeight="1">
      <c r="D854" s="27"/>
      <c r="G854" s="12"/>
    </row>
    <row r="855" ht="15.75" customHeight="1">
      <c r="D855" s="27"/>
      <c r="G855" s="12"/>
    </row>
    <row r="856" ht="15.75" customHeight="1">
      <c r="D856" s="27"/>
      <c r="G856" s="12"/>
    </row>
    <row r="857" ht="15.75" customHeight="1">
      <c r="D857" s="27"/>
      <c r="G857" s="12"/>
    </row>
    <row r="858" ht="15.75" customHeight="1">
      <c r="D858" s="27"/>
      <c r="G858" s="12"/>
    </row>
    <row r="859" ht="15.75" customHeight="1">
      <c r="D859" s="27"/>
      <c r="G859" s="12"/>
    </row>
    <row r="860" ht="15.75" customHeight="1">
      <c r="D860" s="27"/>
      <c r="G860" s="12"/>
    </row>
    <row r="861" ht="15.75" customHeight="1">
      <c r="D861" s="27"/>
      <c r="G861" s="12"/>
    </row>
    <row r="862" ht="15.75" customHeight="1">
      <c r="D862" s="27"/>
      <c r="G862" s="12"/>
    </row>
    <row r="863" ht="15.75" customHeight="1">
      <c r="D863" s="27"/>
      <c r="G863" s="12"/>
    </row>
    <row r="864" ht="15.75" customHeight="1">
      <c r="D864" s="27"/>
      <c r="G864" s="12"/>
    </row>
    <row r="865" ht="15.75" customHeight="1">
      <c r="D865" s="27"/>
      <c r="G865" s="12"/>
    </row>
    <row r="866" ht="15.75" customHeight="1">
      <c r="D866" s="27"/>
      <c r="G866" s="12"/>
    </row>
    <row r="867" ht="15.75" customHeight="1">
      <c r="D867" s="27"/>
      <c r="G867" s="12"/>
    </row>
    <row r="868" ht="15.75" customHeight="1">
      <c r="D868" s="27"/>
      <c r="G868" s="12"/>
    </row>
    <row r="869" ht="15.75" customHeight="1">
      <c r="D869" s="27"/>
      <c r="G869" s="12"/>
    </row>
    <row r="870" ht="15.75" customHeight="1">
      <c r="D870" s="27"/>
      <c r="G870" s="12"/>
    </row>
    <row r="871" ht="15.75" customHeight="1">
      <c r="D871" s="27"/>
      <c r="G871" s="12"/>
    </row>
    <row r="872" ht="15.75" customHeight="1">
      <c r="D872" s="27"/>
      <c r="G872" s="12"/>
    </row>
    <row r="873" ht="15.75" customHeight="1">
      <c r="D873" s="27"/>
      <c r="G873" s="12"/>
    </row>
    <row r="874" ht="15.75" customHeight="1">
      <c r="D874" s="27"/>
      <c r="G874" s="12"/>
    </row>
    <row r="875" ht="15.75" customHeight="1">
      <c r="D875" s="27"/>
      <c r="G875" s="12"/>
    </row>
    <row r="876" ht="15.75" customHeight="1">
      <c r="D876" s="27"/>
      <c r="G876" s="12"/>
    </row>
    <row r="877" ht="15.75" customHeight="1">
      <c r="D877" s="27"/>
      <c r="G877" s="12"/>
    </row>
    <row r="878" ht="15.75" customHeight="1">
      <c r="D878" s="27"/>
      <c r="G878" s="12"/>
    </row>
    <row r="879" ht="15.75" customHeight="1">
      <c r="D879" s="27"/>
      <c r="G879" s="12"/>
    </row>
    <row r="880" ht="15.75" customHeight="1">
      <c r="D880" s="27"/>
      <c r="G880" s="12"/>
    </row>
    <row r="881" ht="15.75" customHeight="1">
      <c r="D881" s="27"/>
      <c r="G881" s="12"/>
    </row>
    <row r="882" ht="15.75" customHeight="1">
      <c r="D882" s="27"/>
      <c r="G882" s="12"/>
    </row>
    <row r="883" ht="15.75" customHeight="1">
      <c r="D883" s="27"/>
      <c r="G883" s="12"/>
    </row>
    <row r="884" ht="15.75" customHeight="1">
      <c r="D884" s="27"/>
      <c r="G884" s="12"/>
    </row>
    <row r="885" ht="15.75" customHeight="1">
      <c r="D885" s="27"/>
      <c r="G885" s="12"/>
    </row>
    <row r="886" ht="15.75" customHeight="1">
      <c r="D886" s="27"/>
      <c r="G886" s="12"/>
    </row>
    <row r="887" ht="15.75" customHeight="1">
      <c r="D887" s="27"/>
      <c r="G887" s="12"/>
    </row>
    <row r="888" ht="15.75" customHeight="1">
      <c r="D888" s="27"/>
      <c r="G888" s="12"/>
    </row>
    <row r="889" ht="15.75" customHeight="1">
      <c r="D889" s="27"/>
      <c r="G889" s="12"/>
    </row>
    <row r="890" ht="15.75" customHeight="1">
      <c r="D890" s="27"/>
      <c r="G890" s="12"/>
    </row>
    <row r="891" ht="15.75" customHeight="1">
      <c r="D891" s="27"/>
      <c r="G891" s="12"/>
    </row>
    <row r="892" ht="15.75" customHeight="1">
      <c r="D892" s="27"/>
      <c r="G892" s="12"/>
    </row>
    <row r="893" ht="15.75" customHeight="1">
      <c r="D893" s="27"/>
      <c r="G893" s="12"/>
    </row>
    <row r="894" ht="15.75" customHeight="1">
      <c r="D894" s="27"/>
      <c r="G894" s="12"/>
    </row>
    <row r="895" ht="15.75" customHeight="1">
      <c r="D895" s="27"/>
      <c r="G895" s="12"/>
    </row>
    <row r="896" ht="15.75" customHeight="1">
      <c r="D896" s="27"/>
      <c r="G896" s="12"/>
    </row>
    <row r="897" ht="15.75" customHeight="1">
      <c r="D897" s="27"/>
      <c r="G897" s="12"/>
    </row>
    <row r="898" ht="15.75" customHeight="1">
      <c r="D898" s="27"/>
      <c r="G898" s="12"/>
    </row>
    <row r="899" ht="15.75" customHeight="1">
      <c r="D899" s="27"/>
      <c r="G899" s="12"/>
    </row>
    <row r="900" ht="15.75" customHeight="1">
      <c r="D900" s="27"/>
      <c r="G900" s="12"/>
    </row>
    <row r="901" ht="15.75" customHeight="1">
      <c r="D901" s="27"/>
      <c r="G901" s="12"/>
    </row>
    <row r="902" ht="15.75" customHeight="1">
      <c r="D902" s="27"/>
      <c r="G902" s="12"/>
    </row>
    <row r="903" ht="15.75" customHeight="1">
      <c r="D903" s="27"/>
      <c r="G903" s="12"/>
    </row>
    <row r="904" ht="15.75" customHeight="1">
      <c r="D904" s="27"/>
      <c r="G904" s="12"/>
    </row>
    <row r="905" ht="15.75" customHeight="1">
      <c r="D905" s="27"/>
      <c r="G905" s="12"/>
    </row>
    <row r="906" ht="15.75" customHeight="1">
      <c r="D906" s="27"/>
      <c r="G906" s="12"/>
    </row>
    <row r="907" ht="15.75" customHeight="1">
      <c r="D907" s="27"/>
      <c r="G907" s="12"/>
    </row>
    <row r="908" ht="15.75" customHeight="1">
      <c r="D908" s="27"/>
      <c r="G908" s="12"/>
    </row>
    <row r="909" ht="15.75" customHeight="1">
      <c r="D909" s="27"/>
      <c r="G909" s="12"/>
    </row>
    <row r="910" ht="15.75" customHeight="1">
      <c r="D910" s="27"/>
      <c r="G910" s="12"/>
    </row>
    <row r="911" ht="15.75" customHeight="1">
      <c r="D911" s="27"/>
      <c r="G911" s="12"/>
    </row>
    <row r="912" ht="15.75" customHeight="1">
      <c r="D912" s="27"/>
      <c r="G912" s="12"/>
    </row>
    <row r="913" ht="15.75" customHeight="1">
      <c r="D913" s="27"/>
      <c r="G913" s="12"/>
    </row>
    <row r="914" ht="15.75" customHeight="1">
      <c r="D914" s="27"/>
      <c r="G914" s="12"/>
    </row>
    <row r="915" ht="15.75" customHeight="1">
      <c r="D915" s="27"/>
      <c r="G915" s="12"/>
    </row>
    <row r="916" ht="15.75" customHeight="1">
      <c r="D916" s="27"/>
      <c r="G916" s="12"/>
    </row>
    <row r="917" ht="15.75" customHeight="1">
      <c r="D917" s="27"/>
      <c r="G917" s="12"/>
    </row>
    <row r="918" ht="15.75" customHeight="1">
      <c r="D918" s="27"/>
      <c r="G918" s="12"/>
    </row>
    <row r="919" ht="15.75" customHeight="1">
      <c r="D919" s="27"/>
      <c r="G919" s="12"/>
    </row>
    <row r="920" ht="15.75" customHeight="1">
      <c r="D920" s="27"/>
      <c r="G920" s="12"/>
    </row>
    <row r="921" ht="15.75" customHeight="1">
      <c r="D921" s="27"/>
      <c r="G921" s="12"/>
    </row>
    <row r="922" ht="15.75" customHeight="1">
      <c r="D922" s="27"/>
      <c r="G922" s="12"/>
    </row>
    <row r="923" ht="15.75" customHeight="1">
      <c r="D923" s="27"/>
      <c r="G923" s="12"/>
    </row>
    <row r="924" ht="15.75" customHeight="1">
      <c r="D924" s="27"/>
      <c r="G924" s="12"/>
    </row>
    <row r="925" ht="15.75" customHeight="1">
      <c r="D925" s="27"/>
      <c r="G925" s="12"/>
    </row>
    <row r="926" ht="15.75" customHeight="1">
      <c r="D926" s="27"/>
      <c r="G926" s="12"/>
    </row>
    <row r="927" ht="15.75" customHeight="1">
      <c r="D927" s="27"/>
      <c r="G927" s="12"/>
    </row>
    <row r="928" ht="15.75" customHeight="1">
      <c r="D928" s="27"/>
      <c r="G928" s="12"/>
    </row>
    <row r="929" ht="15.75" customHeight="1">
      <c r="D929" s="27"/>
      <c r="G929" s="12"/>
    </row>
    <row r="930" ht="15.75" customHeight="1">
      <c r="D930" s="27"/>
      <c r="G930" s="12"/>
    </row>
    <row r="931" ht="15.75" customHeight="1">
      <c r="D931" s="27"/>
      <c r="G931" s="12"/>
    </row>
    <row r="932" ht="15.75" customHeight="1">
      <c r="D932" s="27"/>
      <c r="G932" s="12"/>
    </row>
    <row r="933" ht="15.75" customHeight="1">
      <c r="D933" s="27"/>
      <c r="G933" s="12"/>
    </row>
    <row r="934" ht="15.75" customHeight="1">
      <c r="D934" s="27"/>
      <c r="G934" s="12"/>
    </row>
    <row r="935" ht="15.75" customHeight="1">
      <c r="D935" s="27"/>
      <c r="G935" s="12"/>
    </row>
    <row r="936" ht="15.75" customHeight="1">
      <c r="D936" s="27"/>
      <c r="G936" s="12"/>
    </row>
    <row r="937" ht="15.75" customHeight="1">
      <c r="D937" s="27"/>
      <c r="G937" s="12"/>
    </row>
    <row r="938" ht="15.75" customHeight="1">
      <c r="D938" s="27"/>
      <c r="G938" s="12"/>
    </row>
    <row r="939" ht="15.75" customHeight="1">
      <c r="D939" s="27"/>
      <c r="G939" s="12"/>
    </row>
    <row r="940" ht="15.75" customHeight="1">
      <c r="D940" s="27"/>
      <c r="G940" s="12"/>
    </row>
    <row r="941" ht="15.75" customHeight="1">
      <c r="D941" s="27"/>
      <c r="G941" s="12"/>
    </row>
    <row r="942" ht="15.75" customHeight="1">
      <c r="D942" s="27"/>
      <c r="G942" s="12"/>
    </row>
    <row r="943" ht="15.75" customHeight="1">
      <c r="D943" s="27"/>
      <c r="G943" s="12"/>
    </row>
    <row r="944" ht="15.75" customHeight="1">
      <c r="D944" s="27"/>
      <c r="G944" s="12"/>
    </row>
    <row r="945" ht="15.75" customHeight="1">
      <c r="D945" s="27"/>
      <c r="G945" s="12"/>
    </row>
    <row r="946" ht="15.75" customHeight="1">
      <c r="D946" s="27"/>
      <c r="G946" s="12"/>
    </row>
    <row r="947" ht="15.75" customHeight="1">
      <c r="D947" s="27"/>
      <c r="G947" s="12"/>
    </row>
    <row r="948" ht="15.75" customHeight="1">
      <c r="D948" s="27"/>
      <c r="G948" s="12"/>
    </row>
    <row r="949" ht="15.75" customHeight="1">
      <c r="D949" s="27"/>
      <c r="G949" s="12"/>
    </row>
    <row r="950" ht="15.75" customHeight="1">
      <c r="D950" s="27"/>
      <c r="G950" s="12"/>
    </row>
    <row r="951" ht="15.75" customHeight="1">
      <c r="D951" s="27"/>
      <c r="G951" s="12"/>
    </row>
    <row r="952" ht="15.75" customHeight="1">
      <c r="D952" s="27"/>
      <c r="G952" s="12"/>
    </row>
    <row r="953" ht="15.75" customHeight="1">
      <c r="D953" s="27"/>
      <c r="G953" s="12"/>
    </row>
    <row r="954" ht="15.75" customHeight="1">
      <c r="D954" s="27"/>
      <c r="G954" s="12"/>
    </row>
    <row r="955" ht="15.75" customHeight="1">
      <c r="D955" s="27"/>
      <c r="G955" s="12"/>
    </row>
    <row r="956" ht="15.75" customHeight="1">
      <c r="D956" s="27"/>
      <c r="G956" s="12"/>
    </row>
    <row r="957" ht="15.75" customHeight="1">
      <c r="D957" s="27"/>
      <c r="G957" s="12"/>
    </row>
    <row r="958" ht="15.75" customHeight="1">
      <c r="D958" s="27"/>
      <c r="G958" s="12"/>
    </row>
    <row r="959" ht="15.75" customHeight="1">
      <c r="D959" s="27"/>
      <c r="G959" s="12"/>
    </row>
    <row r="960" ht="15.75" customHeight="1">
      <c r="D960" s="27"/>
      <c r="G960" s="12"/>
    </row>
    <row r="961" ht="15.75" customHeight="1">
      <c r="D961" s="27"/>
      <c r="G961" s="12"/>
    </row>
    <row r="962" ht="15.75" customHeight="1">
      <c r="D962" s="27"/>
      <c r="G962" s="12"/>
    </row>
    <row r="963" ht="15.75" customHeight="1">
      <c r="D963" s="27"/>
      <c r="G963" s="12"/>
    </row>
    <row r="964" ht="15.75" customHeight="1">
      <c r="D964" s="27"/>
      <c r="G964" s="12"/>
    </row>
    <row r="965" ht="15.75" customHeight="1">
      <c r="D965" s="27"/>
      <c r="G965" s="12"/>
    </row>
    <row r="966" ht="15.75" customHeight="1">
      <c r="D966" s="27"/>
      <c r="G966" s="12"/>
    </row>
    <row r="967" ht="15.75" customHeight="1">
      <c r="D967" s="27"/>
      <c r="G967" s="12"/>
    </row>
    <row r="968" ht="15.75" customHeight="1">
      <c r="D968" s="27"/>
      <c r="G968" s="12"/>
    </row>
    <row r="969" ht="15.75" customHeight="1">
      <c r="D969" s="27"/>
      <c r="G969" s="12"/>
    </row>
    <row r="970" ht="15.75" customHeight="1">
      <c r="D970" s="27"/>
      <c r="G970" s="12"/>
    </row>
    <row r="971" ht="15.75" customHeight="1">
      <c r="D971" s="27"/>
      <c r="G971" s="12"/>
    </row>
    <row r="972" ht="15.75" customHeight="1">
      <c r="D972" s="27"/>
      <c r="G972" s="12"/>
    </row>
    <row r="973" ht="15.75" customHeight="1">
      <c r="D973" s="27"/>
      <c r="G973" s="12"/>
    </row>
    <row r="974" ht="15.75" customHeight="1">
      <c r="D974" s="27"/>
      <c r="G974" s="12"/>
    </row>
    <row r="975" ht="15.75" customHeight="1">
      <c r="D975" s="27"/>
      <c r="G975" s="12"/>
    </row>
    <row r="976" ht="15.75" customHeight="1">
      <c r="D976" s="27"/>
      <c r="G976" s="12"/>
    </row>
    <row r="977" ht="15.75" customHeight="1">
      <c r="D977" s="27"/>
      <c r="G977" s="12"/>
    </row>
    <row r="978" ht="15.75" customHeight="1">
      <c r="D978" s="27"/>
      <c r="G978" s="12"/>
    </row>
    <row r="979" ht="15.75" customHeight="1">
      <c r="D979" s="27"/>
      <c r="G979" s="12"/>
    </row>
    <row r="980" ht="15.75" customHeight="1">
      <c r="D980" s="27"/>
      <c r="G980" s="12"/>
    </row>
    <row r="981" ht="15.75" customHeight="1">
      <c r="D981" s="27"/>
      <c r="G981" s="12"/>
    </row>
    <row r="982" ht="15.75" customHeight="1">
      <c r="D982" s="27"/>
      <c r="G982" s="12"/>
    </row>
    <row r="983" ht="15.75" customHeight="1">
      <c r="D983" s="27"/>
      <c r="G983" s="12"/>
    </row>
    <row r="984" ht="15.75" customHeight="1">
      <c r="D984" s="27"/>
      <c r="G984" s="12"/>
    </row>
    <row r="985" ht="15.75" customHeight="1">
      <c r="D985" s="27"/>
      <c r="G985" s="12"/>
    </row>
    <row r="986" ht="15.75" customHeight="1">
      <c r="D986" s="27"/>
      <c r="G986" s="12"/>
    </row>
    <row r="987" ht="15.75" customHeight="1">
      <c r="D987" s="27"/>
      <c r="G987" s="12"/>
    </row>
    <row r="988" ht="15.75" customHeight="1">
      <c r="D988" s="27"/>
      <c r="G988" s="12"/>
    </row>
    <row r="989" ht="15.75" customHeight="1">
      <c r="D989" s="27"/>
      <c r="G989" s="12"/>
    </row>
    <row r="990" ht="15.75" customHeight="1">
      <c r="D990" s="27"/>
      <c r="G990" s="12"/>
    </row>
    <row r="991" ht="15.75" customHeight="1">
      <c r="D991" s="27"/>
      <c r="G991" s="12"/>
    </row>
    <row r="992" ht="15.75" customHeight="1">
      <c r="D992" s="27"/>
      <c r="G992" s="12"/>
    </row>
    <row r="993" ht="15.75" customHeight="1">
      <c r="D993" s="27"/>
      <c r="G993" s="12"/>
    </row>
    <row r="994" ht="15.75" customHeight="1">
      <c r="D994" s="27"/>
      <c r="G994" s="12"/>
    </row>
    <row r="995" ht="15.75" customHeight="1">
      <c r="D995" s="27"/>
      <c r="G995" s="12"/>
    </row>
    <row r="996" ht="15.75" customHeight="1">
      <c r="D996" s="27"/>
      <c r="G996" s="12"/>
    </row>
    <row r="997" ht="15.75" customHeight="1">
      <c r="D997" s="27"/>
      <c r="G997" s="12"/>
    </row>
    <row r="998" ht="15.75" customHeight="1">
      <c r="D998" s="27"/>
      <c r="G998" s="12"/>
    </row>
    <row r="999" ht="15.75" customHeight="1">
      <c r="D999" s="27"/>
      <c r="G999" s="12"/>
    </row>
    <row r="1000" ht="15.75" customHeight="1">
      <c r="D1000" s="27"/>
      <c r="G1000" s="12"/>
    </row>
  </sheetData>
  <dataValidations>
    <dataValidation type="list" allowBlank="1" sqref="N2:N17">
      <formula1>"Stepwise,Exponential,Linear,Polynomial,Breir,Quadratic,Parabolia - sq root,Parabolic"</formula1>
    </dataValidation>
    <dataValidation type="list" allowBlank="1" sqref="I2:I17">
      <formula1>"Aedes aegypti,Aedes albopictus,Both,Not specified"</formula1>
    </dataValidation>
    <dataValidation type="list" allowBlank="1" sqref="G2:G17">
      <formula1>"Compartmental - DETERMINISTIC,Compartmental - STOCHASTIC,Agent based,Metapopulation (spatial)- STOCHASTIC"</formula1>
    </dataValidation>
  </dataValidations>
  <hyperlinks>
    <hyperlink r:id="rId1" ref="A2"/>
    <hyperlink r:id="rId2" ref="J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s>
  <printOptions/>
  <pageMargins bottom="0.0" footer="0.0" header="0.0" left="0.0" right="0.0" top="0.0"/>
  <pageSetup orientation="landscape"/>
  <drawing r:id="rId18"/>
  <tableParts count="1">
    <tablePart r:id="rId20"/>
  </tableParts>
</worksheet>
</file>